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Overview" sheetId="1" r:id="rId5"/>
    <sheet state="visible" name="Features" sheetId="2" r:id="rId6"/>
    <sheet state="visible" name="Roles" sheetId="3" r:id="rId7"/>
    <sheet state="visible" name="Authorization" sheetId="4" r:id="rId8"/>
    <sheet state="visible" name="Screen Visibility" sheetId="5" r:id="rId9"/>
    <sheet state="visible" name="Business Rules" sheetId="6" r:id="rId10"/>
  </sheets>
  <definedNames>
    <definedName hidden="1" localSheetId="1" name="_xlnm._FilterDatabase">Features!$A$1:$P$79</definedName>
    <definedName hidden="1" localSheetId="2" name="Z_565B340A_800A_4B5A_8AC0_EE51B20EFC38_.wvu.FilterData">Roles!$A$1:$D$5</definedName>
    <definedName hidden="1" localSheetId="5" name="Z_59300DEC_CD0E_4BFC_BFE1_55208182CE93_.wvu.FilterData">'Business Rules'!$A$1:$C$79</definedName>
  </definedNames>
  <calcPr/>
  <customWorkbookViews>
    <customWorkbookView activeSheetId="0" maximized="1" windowHeight="0" windowWidth="0" guid="{565B340A-800A-4B5A-8AC0-EE51B20EFC38}" name="Roles filter view"/>
    <customWorkbookView activeSheetId="0" maximized="1" windowHeight="0" windowWidth="0" guid="{59300DEC-CD0E-4BFC-BFE1-55208182CE93}" name="BusinessRules filter view"/>
  </customWorkbookViews>
</workbook>
</file>

<file path=xl/sharedStrings.xml><?xml version="1.0" encoding="utf-8"?>
<sst xmlns="http://schemas.openxmlformats.org/spreadsheetml/2006/main" count="1586" uniqueCount="818">
  <si>
    <t>Sport Mate — Feature &amp; Role Specification</t>
  </si>
  <si>
    <t>No.</t>
  </si>
  <si>
    <t>Project</t>
  </si>
  <si>
    <t>Sport Mate — sportswear e-commerce mobile application (PRM392)</t>
  </si>
  <si>
    <t>Version</t>
  </si>
  <si>
    <t>1.0</t>
  </si>
  <si>
    <t>Date</t>
  </si>
  <si>
    <t>2026-10-11</t>
  </si>
  <si>
    <t>Scope</t>
  </si>
  <si>
    <t>78 features (F01–F78), mapped one-to-one to use cases UC-001–UC-078</t>
  </si>
  <si>
    <t>Tech stack</t>
  </si>
  <si>
    <t>Module</t>
  </si>
  <si>
    <t>Flutter (mobile) · ASP.NET Core Web API (REST/JSON, JWT) · SQL Server (EF Core)</t>
  </si>
  <si>
    <t>Feature ID</t>
  </si>
  <si>
    <t>Source documents</t>
  </si>
  <si>
    <t>Use Case ID</t>
  </si>
  <si>
    <t>USE_CASES.md · BUSINESS_RULES.md · API_DESIGN.md · MOBILE_ARCHITECTURE.md · BACKEND_ARCHITECTURE.md</t>
  </si>
  <si>
    <t>Feature Name</t>
  </si>
  <si>
    <t>Capability</t>
  </si>
  <si>
    <t>How to use this workbook</t>
  </si>
  <si>
    <t>Description</t>
  </si>
  <si>
    <t>Roles</t>
  </si>
  <si>
    <t>API Endpoint</t>
  </si>
  <si>
    <t>Mobile Screen</t>
  </si>
  <si>
    <t>- Features sheet: one row per feature (F01–F78). Fill in the yellow Assignee column (L).</t>
  </si>
  <si>
    <t>Business Rules</t>
  </si>
  <si>
    <t>Guest</t>
  </si>
  <si>
    <t>Priority</t>
  </si>
  <si>
    <t>Customer</t>
  </si>
  <si>
    <t>Interaction</t>
  </si>
  <si>
    <t>Staff</t>
  </si>
  <si>
    <t>Admin</t>
  </si>
  <si>
    <t>Date Start</t>
  </si>
  <si>
    <t>- The progress table below updates automatically from the Assignee column.</t>
  </si>
  <si>
    <t>Deadline</t>
  </si>
  <si>
    <t>Status</t>
  </si>
  <si>
    <t>Assignee</t>
  </si>
  <si>
    <t>- API paths are relative to /api/v1. "(proposed)" marks endpoints not defined in API_DESIGN.md.</t>
  </si>
  <si>
    <t>Browse public catalog and reviews</t>
  </si>
  <si>
    <t>Total Group Featuress</t>
  </si>
  <si>
    <t>- /admin/* endpoints are shared by Staff and Admin; the app shows or hides features by role and the API checks every request.</t>
  </si>
  <si>
    <t>- Priority (Must / Should / Could) is a proposal; it is not defined in the source documents.</t>
  </si>
  <si>
    <t>NOTE branch</t>
  </si>
  <si>
    <t>Cell to fill in</t>
  </si>
  <si>
    <t>Progress by module</t>
  </si>
  <si>
    <t>Yes</t>
  </si>
  <si>
    <t>Feature IDs</t>
  </si>
  <si>
    <t>Features</t>
  </si>
  <si>
    <t>Assigned</t>
  </si>
  <si>
    <t>% assigned</t>
  </si>
  <si>
    <t>Roles involved</t>
  </si>
  <si>
    <t>Authentication</t>
  </si>
  <si>
    <t>F01–F05</t>
  </si>
  <si>
    <t>Manage own profile and password</t>
  </si>
  <si>
    <t>F01</t>
  </si>
  <si>
    <t>No</t>
  </si>
  <si>
    <t>UC-001</t>
  </si>
  <si>
    <t>Register account</t>
  </si>
  <si>
    <t>Guest enters name, email and password; API validates input and password policy, checks email uniqueness, hashes the password and creates a Customer account.</t>
  </si>
  <si>
    <t>Manage own addresses, cart, orders, payments</t>
  </si>
  <si>
    <t>POST /auth/register</t>
  </si>
  <si>
    <t>Register</t>
  </si>
  <si>
    <t>BR-008, BR-009, BR-071, BR-072</t>
  </si>
  <si>
    <t>No by default</t>
  </si>
  <si>
    <t>Must</t>
  </si>
  <si>
    <t>Manage own wishlist and reviews</t>
  </si>
  <si>
    <t>Manage catalog (categories, brands, products, variants, images)</t>
  </si>
  <si>
    <t>Manage inventory</t>
  </si>
  <si>
    <t>Process all orders</t>
  </si>
  <si>
    <t>Confirm manual bank transfer</t>
  </si>
  <si>
    <t>Moderate reviews</t>
  </si>
  <si>
    <t>Interaction 1</t>
  </si>
  <si>
    <t>Manage coupons</t>
  </si>
  <si>
    <t>Manage users and roles</t>
  </si>
  <si>
    <t>View dashboard and reports</t>
  </si>
  <si>
    <t>1/10</t>
  </si>
  <si>
    <t>13/10</t>
  </si>
  <si>
    <t>Done</t>
  </si>
  <si>
    <t>Nguyễn Hoàng Minh</t>
  </si>
  <si>
    <t>Guest, Customer, Staff, Admin</t>
  </si>
  <si>
    <t>User &amp; Profile</t>
  </si>
  <si>
    <t>F06–F17</t>
  </si>
  <si>
    <t>https://github.com/nilernous/sport-mate</t>
  </si>
  <si>
    <t>Customer, Staff, Admin</t>
  </si>
  <si>
    <t>Product &amp; Catalog</t>
  </si>
  <si>
    <t>F18–F42</t>
  </si>
  <si>
    <t>F02</t>
  </si>
  <si>
    <t>UC-002</t>
  </si>
  <si>
    <t>Sign in</t>
  </si>
  <si>
    <t>Guest submits credentials; API verifies them and account status, then issues a JWT and returns safe user info and role (used by the app to show/hide features).</t>
  </si>
  <si>
    <t>POST /auth/login</t>
  </si>
  <si>
    <t>Login</t>
  </si>
  <si>
    <t>BR-006, BR-007, BR-078</t>
  </si>
  <si>
    <t>Inventory</t>
  </si>
  <si>
    <t>F43–F45</t>
  </si>
  <si>
    <t>F03</t>
  </si>
  <si>
    <t>UC-003</t>
  </si>
  <si>
    <t>Sign out</t>
  </si>
  <si>
    <t>User signs out; app clears local auth state and API revokes the refresh token/session if supported.</t>
  </si>
  <si>
    <t>POST /auth/logout</t>
  </si>
  <si>
    <t>Profile</t>
  </si>
  <si>
    <t>BR-077, BR-078</t>
  </si>
  <si>
    <t>F04</t>
  </si>
  <si>
    <t>UC-004</t>
  </si>
  <si>
    <t>Staff, Admin</t>
  </si>
  <si>
    <t>Request password reset</t>
  </si>
  <si>
    <t>Guest submits an email; API returns a generic response and starts a time-limited reset process for an eligible account without disclosing whether the email exists.</t>
  </si>
  <si>
    <t>Shopping Cart</t>
  </si>
  <si>
    <t>F46–F50</t>
  </si>
  <si>
    <t>POST /auth/forgot-password</t>
  </si>
  <si>
    <t>Forgot Password</t>
  </si>
  <si>
    <t>BR-010, BR-072</t>
  </si>
  <si>
    <t>Should</t>
  </si>
  <si>
    <t>Role</t>
  </si>
  <si>
    <t>F05</t>
  </si>
  <si>
    <t>UC-005</t>
  </si>
  <si>
    <t>Reset password using token</t>
  </si>
  <si>
    <t>Guest submits a valid reset token and new password; API validates both, updates the password hash and invalidates the token.</t>
  </si>
  <si>
    <t>POST /auth/reset-password</t>
  </si>
  <si>
    <t>Reset Password</t>
  </si>
  <si>
    <t>BR-009, BR-010</t>
  </si>
  <si>
    <t>Checkout &amp; Orders</t>
  </si>
  <si>
    <t>F51–F57</t>
  </si>
  <si>
    <t>F06</t>
  </si>
  <si>
    <t>UC-006</t>
  </si>
  <si>
    <t>Change password</t>
  </si>
  <si>
    <t>User submits current and new password; API verifies the current one, validates the new one, updates the hash and applies the session-revocation policy.</t>
  </si>
  <si>
    <t>PUT /users/me/password</t>
  </si>
  <si>
    <t>Profile › Change Password</t>
  </si>
  <si>
    <t>BR-009, BR-011, BR-078</t>
  </si>
  <si>
    <t>Type</t>
  </si>
  <si>
    <t>Payments</t>
  </si>
  <si>
    <t>F58–F60</t>
  </si>
  <si>
    <t>F07</t>
  </si>
  <si>
    <t>UC-007</t>
  </si>
  <si>
    <t>View own profile</t>
  </si>
  <si>
    <t>Mobile area</t>
  </si>
  <si>
    <t>App requests the current profile; API resolves identity from JWT claims and returns the allowed fields.</t>
  </si>
  <si>
    <t>GET /users/me</t>
  </si>
  <si>
    <t>BR-006, BR-011, BR-078</t>
  </si>
  <si>
    <t>F08</t>
  </si>
  <si>
    <t>UC-008</t>
  </si>
  <si>
    <t>Update own profile</t>
  </si>
  <si>
    <t>User edits allowed profile fields; API updates only the current user's record. Role/status cannot be changed here.</t>
  </si>
  <si>
    <t>PUT /users/me</t>
  </si>
  <si>
    <t>Profile › Edit Profile</t>
  </si>
  <si>
    <t>BR-006, BR-011, BR-071</t>
  </si>
  <si>
    <t>Coupons</t>
  </si>
  <si>
    <t>F61–F67</t>
  </si>
  <si>
    <t>Unauthenticated actor (not stored)</t>
  </si>
  <si>
    <t>F09</t>
  </si>
  <si>
    <t>UC-009</t>
  </si>
  <si>
    <t>Create delivery address</t>
  </si>
  <si>
    <t>Customer submits address fields; API validates and creates an address owned by the current Customer.</t>
  </si>
  <si>
    <t>POST /users/me/addresses</t>
  </si>
  <si>
    <t>Address Management</t>
  </si>
  <si>
    <t>BR-012, BR-071</t>
  </si>
  <si>
    <t>Visitor who may register, sign in, reset a password and browse, search, filter and sort the public catalog and reviews.</t>
  </si>
  <si>
    <t>Auth screens, Home, Product List / Detail, Search</t>
  </si>
  <si>
    <t>F10</t>
  </si>
  <si>
    <t>UC-010</t>
  </si>
  <si>
    <t>List own delivery addresses</t>
  </si>
  <si>
    <t>Customer, Admin</t>
  </si>
  <si>
    <t>Customer views the address book; API returns only addresses owned by the current Customer.</t>
  </si>
  <si>
    <t>Reviews</t>
  </si>
  <si>
    <t>GET /users/me/addresses</t>
  </si>
  <si>
    <t>F68–F72</t>
  </si>
  <si>
    <t>BR-006, BR-012</t>
  </si>
  <si>
    <t>Interaction 2</t>
  </si>
  <si>
    <t>14/10</t>
  </si>
  <si>
    <t>22/10</t>
  </si>
  <si>
    <t>Authenticated role</t>
  </si>
  <si>
    <t>F11</t>
  </si>
  <si>
    <t>UC-011</t>
  </si>
  <si>
    <t>Update own delivery address</t>
  </si>
  <si>
    <t>Customer edits an address; API verifies ownership and updates it. Historical order address snapshots are not changed.</t>
  </si>
  <si>
    <t>PUT /users/me/addresses/{id}</t>
  </si>
  <si>
    <t>BR-012, BR-013</t>
  </si>
  <si>
    <t>Registered shopper who manages their own profile, addresses, cart, orders, payments, wishlist and eligible reviews.</t>
  </si>
  <si>
    <t>Customer app (bottom navigation)</t>
  </si>
  <si>
    <t>Wishlist</t>
  </si>
  <si>
    <t>F73–F75</t>
  </si>
  <si>
    <t>F12</t>
  </si>
  <si>
    <t>UC-012</t>
  </si>
  <si>
    <t>Delete own delivery address</t>
  </si>
  <si>
    <t>Customer deletes an address; API verifies ownership and deletes or deactivates it safely without affecting order snapshots.</t>
  </si>
  <si>
    <t>DELETE /users/me/addresses/{id}</t>
  </si>
  <si>
    <t>Operational user who maintains catalog and inventory, processes orders, confirms manual bank transfers and moderates reviews. Cannot manage roles, users, coupons or reports.</t>
  </si>
  <si>
    <t>F13</t>
  </si>
  <si>
    <t>UC-013</t>
  </si>
  <si>
    <t>Create user account</t>
  </si>
  <si>
    <t>Admin creates a user with an allowed initial role; API validates email uniqueness and role assignment.</t>
  </si>
  <si>
    <t>Admin Panel (operational items only) + Profile</t>
  </si>
  <si>
    <t>Screen / Navigation item</t>
  </si>
  <si>
    <t>POST /admin/users (proposed)</t>
  </si>
  <si>
    <t>Reports</t>
  </si>
  <si>
    <t>Admin Panel › User Management</t>
  </si>
  <si>
    <t>F76–F78</t>
  </si>
  <si>
    <t>BR-004, BR-005, BR-008, BR-009</t>
  </si>
  <si>
    <t>Interaction 3</t>
  </si>
  <si>
    <t>23/10</t>
  </si>
  <si>
    <t>30/10</t>
  </si>
  <si>
    <t>Processing</t>
  </si>
  <si>
    <t>Login, Register, Forgot / Reset Password</t>
  </si>
  <si>
    <t>F01, F02, F04, F05</t>
  </si>
  <si>
    <t>Administrator with all Staff capabilities plus user and role management, coupon management and reports.</t>
  </si>
  <si>
    <t>O</t>
  </si>
  <si>
    <t>Admin Panel (all items) + Profile</t>
  </si>
  <si>
    <t>X</t>
  </si>
  <si>
    <t>F14</t>
  </si>
  <si>
    <t>UC-014</t>
  </si>
  <si>
    <t>List and view users</t>
  </si>
  <si>
    <t>Admin lists/searches users and opens a user record; API returns only permitted fields.</t>
  </si>
  <si>
    <t>GET /admin/users
GET /admin/users/{id}</t>
  </si>
  <si>
    <t>Home, Product List, Categories &amp; Search</t>
  </si>
  <si>
    <t>F38, F40–F42</t>
  </si>
  <si>
    <t>BR-005, BR-006</t>
  </si>
  <si>
    <t>Product Detail</t>
  </si>
  <si>
    <t>F39, F69</t>
  </si>
  <si>
    <t>Product Detail › Add to Cart / Add to Wishlist</t>
  </si>
  <si>
    <t>F47, F74</t>
  </si>
  <si>
    <t>Prompt</t>
  </si>
  <si>
    <t>F15</t>
  </si>
  <si>
    <t>UC-015</t>
  </si>
  <si>
    <t>Update user information</t>
  </si>
  <si>
    <t>Product Reviews › Write / Edit / Delete review</t>
  </si>
  <si>
    <t>Admin updates permitted user information; API validates (e.g. duplicate email) and saves.</t>
  </si>
  <si>
    <t>F68, F70, F71</t>
  </si>
  <si>
    <t>PUT /admin/users/{id} (proposed)</t>
  </si>
  <si>
    <t>BR-005, BR-008, BR-071</t>
  </si>
  <si>
    <t>Cart</t>
  </si>
  <si>
    <t>F46, F48–F50</t>
  </si>
  <si>
    <t>Checkout (address, coupon, payment)</t>
  </si>
  <si>
    <t>F51, F52, F59, F65–F67</t>
  </si>
  <si>
    <t>Order History, Order Detail</t>
  </si>
  <si>
    <t>F16</t>
  </si>
  <si>
    <t>F53–F55, F58</t>
  </si>
  <si>
    <t>UC-016</t>
  </si>
  <si>
    <t>Total</t>
  </si>
  <si>
    <t>Disable user account</t>
  </si>
  <si>
    <t>F01–F78</t>
  </si>
  <si>
    <t>Admin disables an account; API updates status and revokes sessions. The last active Admin cannot be disabled; history is preserved.</t>
  </si>
  <si>
    <t>PATCH /admin/users/{id}/status</t>
  </si>
  <si>
    <t>BR-005, BR-007</t>
  </si>
  <si>
    <t>Profile, Change Password, Sign Out</t>
  </si>
  <si>
    <t>F03, F06–F08</t>
  </si>
  <si>
    <t>F09–F12</t>
  </si>
  <si>
    <t>Admin Panel › Product &amp; Category Mgmt</t>
  </si>
  <si>
    <t>F18–F37</t>
  </si>
  <si>
    <t>F17</t>
  </si>
  <si>
    <t>UC-017</t>
  </si>
  <si>
    <t>Assign or change user role</t>
  </si>
  <si>
    <t>Admin Panel › Inventory Mgmt</t>
  </si>
  <si>
    <t>Admin assigns an allowed role (Customer/Staff/Admin); API enforces the last-admin safeguard and later authorization reflects the new role.</t>
  </si>
  <si>
    <t>PATCH /admin/users/{id}/role (proposed)</t>
  </si>
  <si>
    <t>BR-004, BR-005, BR-006</t>
  </si>
  <si>
    <t>Admin Panel › Order Mgmt (incl. payment confirmation)</t>
  </si>
  <si>
    <t>F56, F57, F60</t>
  </si>
  <si>
    <t>Admin Panel › Review Moderation</t>
  </si>
  <si>
    <t>F69, F72</t>
  </si>
  <si>
    <t>Admin Panel › Coupon Mgmt</t>
  </si>
  <si>
    <t>F61–F64</t>
  </si>
  <si>
    <t>F13–F17</t>
  </si>
  <si>
    <t>Admin Panel › Dashboard &amp; Reports</t>
  </si>
  <si>
    <t>O: shown 
X: hidden 
Prompt: visible but asks a Guest to sign in</t>
  </si>
  <si>
    <t>F18</t>
  </si>
  <si>
    <t>UC-018</t>
  </si>
  <si>
    <t>Create category</t>
  </si>
  <si>
    <t>Actor submits category fields; API validates and rejects duplicate key/name.</t>
  </si>
  <si>
    <t>POST /admin/categories</t>
  </si>
  <si>
    <t>BR-015, BR-071, BR-078</t>
  </si>
  <si>
    <t>Huỳnh Trần Phước Sang</t>
  </si>
  <si>
    <t>F19</t>
  </si>
  <si>
    <t>UC-019</t>
  </si>
  <si>
    <t>List and view categories</t>
  </si>
  <si>
    <t>Actor views the category list or a category detail.</t>
  </si>
  <si>
    <t>GET /categories
GET /categories/{id}</t>
  </si>
  <si>
    <t>BR-015, BR-072</t>
  </si>
  <si>
    <t>F20</t>
  </si>
  <si>
    <t>UC-020</t>
  </si>
  <si>
    <t>Update category</t>
  </si>
  <si>
    <t>Actor edits a category; API validates and rejects conflicting unique values.</t>
  </si>
  <si>
    <t>PUT /admin/categories/{id}</t>
  </si>
  <si>
    <t>BR-015, BR-071</t>
  </si>
  <si>
    <t>F21</t>
  </si>
  <si>
    <t>UC-021</t>
  </si>
  <si>
    <t>Delete or deactivate category</t>
  </si>
  <si>
    <t>API deletes the category only if no products reference it; otherwise deactivates or rejects.</t>
  </si>
  <si>
    <t>DELETE /admin/categories/{id}</t>
  </si>
  <si>
    <t>BR-015, BR-020, BR-073</t>
  </si>
  <si>
    <t>F22</t>
  </si>
  <si>
    <t>UC-022</t>
  </si>
  <si>
    <t>Create brand</t>
  </si>
  <si>
    <t>Actor submits brand details; API validates and rejects duplicate key/name.</t>
  </si>
  <si>
    <t>POST /admin/brands (proposed)</t>
  </si>
  <si>
    <t>F23</t>
  </si>
  <si>
    <t>UC-023</t>
  </si>
  <si>
    <t>List and view brands</t>
  </si>
  <si>
    <t>Actor views the brand list or a brand detail.</t>
  </si>
  <si>
    <t>GET /admin/brands (proposed)
GET /admin/brands/{id} (proposed)</t>
  </si>
  <si>
    <t>BR-015</t>
  </si>
  <si>
    <t>F24</t>
  </si>
  <si>
    <t>UC-024</t>
  </si>
  <si>
    <t>Update brand</t>
  </si>
  <si>
    <t>Actor edits a brand; API validates and rejects conflicting values.</t>
  </si>
  <si>
    <t>PUT /admin/brands/{id} (proposed)</t>
  </si>
  <si>
    <t>F25</t>
  </si>
  <si>
    <t>UC-025</t>
  </si>
  <si>
    <t>Delete or deactivate brand</t>
  </si>
  <si>
    <t>API deletes the brand only if no products reference it; otherwise deactivates or rejects.</t>
  </si>
  <si>
    <t>DELETE /admin/brands/{id} (proposed)</t>
  </si>
  <si>
    <t>F26</t>
  </si>
  <si>
    <t>UC-026</t>
  </si>
  <si>
    <t>Create product</t>
  </si>
  <si>
    <t>Actor submits product details; API validates fields, price and category/brand references, then creates the product in its initial status.</t>
  </si>
  <si>
    <t>POST /admin/products</t>
  </si>
  <si>
    <t>BR-014, BR-015, BR-018, BR-071</t>
  </si>
  <si>
    <t>Lê Huỳnh Nhựt Khanh</t>
  </si>
  <si>
    <t>F27</t>
  </si>
  <si>
    <t>UC-027</t>
  </si>
  <si>
    <t>List and view products in admin</t>
  </si>
  <si>
    <t>Actor lists/searches all products including inactive ones and opens a product detail.</t>
  </si>
  <si>
    <t>GET /admin/products (proposed)
GET /admin/products/{id} (proposed)</t>
  </si>
  <si>
    <t>BR-014, BR-021</t>
  </si>
  <si>
    <t>F28</t>
  </si>
  <si>
    <t>UC-028</t>
  </si>
  <si>
    <t>Update product</t>
  </si>
  <si>
    <t>Actor edits permitted fields; API validates price, status and references. Order snapshots stay unchanged.</t>
  </si>
  <si>
    <t>PUT /admin/products/{id}
PATCH /admin/products/{id}/status</t>
  </si>
  <si>
    <t>BR-015, BR-018, BR-039, BR-045, BR-071</t>
  </si>
  <si>
    <t>F29</t>
  </si>
  <si>
    <t>UC-029</t>
  </si>
  <si>
    <t>Delete or deactivate product</t>
  </si>
  <si>
    <t>API deletes the product only if it has no order references; otherwise archives/deactivates so it can no longer be purchased.</t>
  </si>
  <si>
    <t>DELETE /admin/products/{id}</t>
  </si>
  <si>
    <t>BR-014, BR-020, BR-044</t>
  </si>
  <si>
    <t>F30</t>
  </si>
  <si>
    <t>UC-030</t>
  </si>
  <si>
    <t>Create product variant</t>
  </si>
  <si>
    <t>Actor adds a size/color/SKU/price variant; API validates the parent product, unique SKU and price.</t>
  </si>
  <si>
    <t>POST /admin/products/{id}/variants (proposed)</t>
  </si>
  <si>
    <t>BR-016, BR-017, BR-018, BR-022</t>
  </si>
  <si>
    <t>F31</t>
  </si>
  <si>
    <t>UC-031</t>
  </si>
  <si>
    <t>List and view product variants</t>
  </si>
  <si>
    <t>Actor lists variants of a product or opens one variant.</t>
  </si>
  <si>
    <t>GET /admin/products/{id}/variants (proposed)</t>
  </si>
  <si>
    <t>BR-016, BR-022</t>
  </si>
  <si>
    <t>F32</t>
  </si>
  <si>
    <t>UC-032</t>
  </si>
  <si>
    <t>Update product variant</t>
  </si>
  <si>
    <t>Actor edits size, color, SKU or price; API validates SKU uniqueness and values. Stock is changed only via inventory adjustment.</t>
  </si>
  <si>
    <t>PUT /admin/variants/{id} (proposed)</t>
  </si>
  <si>
    <t>BR-016, BR-017, BR-018, BR-039, BR-045</t>
  </si>
  <si>
    <t>F33</t>
  </si>
  <si>
    <t>UC-033</t>
  </si>
  <si>
    <t>Delete or deactivate product variant</t>
  </si>
  <si>
    <t>API deletes the variant only if safe (stock/order references); otherwise deactivates so it cannot be purchased.</t>
  </si>
  <si>
    <t>DELETE /admin/variants/{id} (proposed)</t>
  </si>
  <si>
    <t>BR-014, BR-020, BR-022</t>
  </si>
  <si>
    <t>F34</t>
  </si>
  <si>
    <t>UC-034</t>
  </si>
  <si>
    <t>Add product image</t>
  </si>
  <si>
    <t>Actor uploads an image or supplies an approved reference; API validates file type/size and links it to the product.</t>
  </si>
  <si>
    <t>POST /admin/products/{id}/images (proposed)</t>
  </si>
  <si>
    <t>BR-019, BR-071</t>
  </si>
  <si>
    <t>F35</t>
  </si>
  <si>
    <t>UC-035</t>
  </si>
  <si>
    <t>List product images</t>
  </si>
  <si>
    <t>Actor views the images linked to a product with display metadata.</t>
  </si>
  <si>
    <t>GET /admin/products/{id}/images (proposed)</t>
  </si>
  <si>
    <t>BR-019</t>
  </si>
  <si>
    <t>F36</t>
  </si>
  <si>
    <t>UC-036</t>
  </si>
  <si>
    <t>Update image metadata or display order</t>
  </si>
  <si>
    <t>Actor changes image metadata or display order; API validates and saves.</t>
  </si>
  <si>
    <t>PUT /admin/images/{id} (proposed)</t>
  </si>
  <si>
    <t>F37</t>
  </si>
  <si>
    <t>UC-037</t>
  </si>
  <si>
    <t>Delete product image</t>
  </si>
  <si>
    <t>Actor removes an image; API removes the association and cleans up storage according to policy.</t>
  </si>
  <si>
    <t>DELETE /admin/images/{id} (proposed)</t>
  </si>
  <si>
    <t>F38</t>
  </si>
  <si>
    <t>UC-038</t>
  </si>
  <si>
    <t>Browse product list</t>
  </si>
  <si>
    <t>Actor opens the catalog; API returns active public products with pagination.</t>
  </si>
  <si>
    <t>Guest, Customer</t>
  </si>
  <si>
    <t>GET /products</t>
  </si>
  <si>
    <t>Home, Product List</t>
  </si>
  <si>
    <t>Trương Đoàn Minh Phúc</t>
  </si>
  <si>
    <t>F39</t>
  </si>
  <si>
    <t>UC-039</t>
  </si>
  <si>
    <t>View product details</t>
  </si>
  <si>
    <t>Actor opens a product; API returns description, images, variants, price and availability.</t>
  </si>
  <si>
    <t>GET /products/{id}</t>
  </si>
  <si>
    <t>BR-014, BR-016, BR-022</t>
  </si>
  <si>
    <t>ID</t>
  </si>
  <si>
    <t>F40</t>
  </si>
  <si>
    <t>UC-040</t>
  </si>
  <si>
    <t>Search products</t>
  </si>
  <si>
    <t>Actor searches by keyword; API returns matching active products.</t>
  </si>
  <si>
    <t>Rule</t>
  </si>
  <si>
    <t>GET /products?keyword=</t>
  </si>
  <si>
    <t>Categories &amp; Search</t>
  </si>
  <si>
    <t>BR-021, BR-071</t>
  </si>
  <si>
    <t>Group</t>
  </si>
  <si>
    <t>F41</t>
  </si>
  <si>
    <t>UC-041</t>
  </si>
  <si>
    <t>Filter products</t>
  </si>
  <si>
    <t>Actor filters by category, brand, price range, size and/or color; API validates and combines filters.</t>
  </si>
  <si>
    <t>GET /products?categoryId=&amp;brandId=&amp;minPrice=&amp;maxPrice=&amp;size=&amp;color=</t>
  </si>
  <si>
    <t>Categories &amp; Search, Product List</t>
  </si>
  <si>
    <t>BR-001</t>
  </si>
  <si>
    <t>F42</t>
  </si>
  <si>
    <t>UC-042</t>
  </si>
  <si>
    <t>Supported roles</t>
  </si>
  <si>
    <t>Sort products</t>
  </si>
  <si>
    <t>Actor picks an allowed sort field and direction; API applies stable sorting with pagination.</t>
  </si>
  <si>
    <t>GET /products?sortBy=&amp;sortOrder=</t>
  </si>
  <si>
    <t>Product List</t>
  </si>
  <si>
    <t>BR-021</t>
  </si>
  <si>
    <t>Roles and Access Control</t>
  </si>
  <si>
    <t>BR-002</t>
  </si>
  <si>
    <t>F43</t>
  </si>
  <si>
    <t>UC-043</t>
  </si>
  <si>
    <t>View inventory by variant</t>
  </si>
  <si>
    <t>Actor views current available quantity for a product or variant.</t>
  </si>
  <si>
    <t>Public access</t>
  </si>
  <si>
    <t>GET /admin/inventory</t>
  </si>
  <si>
    <t>BR-022, BR-026, BR-078</t>
  </si>
  <si>
    <t>F44</t>
  </si>
  <si>
    <t>UC-044</t>
  </si>
  <si>
    <t>Adjust inventory quantity</t>
  </si>
  <si>
    <t>Actor submits an adjustment quantity and reason; API prevents negative stock and concurrency conflicts and records the movement.</t>
  </si>
  <si>
    <t>PATCH /admin/variants/{id}/stock</t>
  </si>
  <si>
    <t>BR-023, BR-025, BR-026, BR-027, BR-075, BR-076</t>
  </si>
  <si>
    <t>F45</t>
  </si>
  <si>
    <t>UC-045</t>
  </si>
  <si>
    <t>View inventory movement history</t>
  </si>
  <si>
    <t>Actor filters stock movements by variant/date and views the audit history.</t>
  </si>
  <si>
    <t>GET /admin/inventory/movements (proposed)</t>
  </si>
  <si>
    <t>BR-027, BR-076</t>
  </si>
  <si>
    <t>BR-003</t>
  </si>
  <si>
    <t>Customer ownership</t>
  </si>
  <si>
    <t>F46</t>
  </si>
  <si>
    <t>UC-046</t>
  </si>
  <si>
    <t>View own cart</t>
  </si>
  <si>
    <t>Customer views their cart; API returns only their items with indicative prices.</t>
  </si>
  <si>
    <t>GET /cart</t>
  </si>
  <si>
    <t>BR-029, BR-031</t>
  </si>
  <si>
    <t>BR-004</t>
  </si>
  <si>
    <t>Staff permissions</t>
  </si>
  <si>
    <t>F47</t>
  </si>
  <si>
    <t>UC-047</t>
  </si>
  <si>
    <t>BR-005</t>
  </si>
  <si>
    <t>Add item to cart</t>
  </si>
  <si>
    <t>Customer adds a variant with a positive quantity; API checks the variant is purchasable and in stock.</t>
  </si>
  <si>
    <t>POST /cart/items</t>
  </si>
  <si>
    <t>BR-022, BR-024, BR-029, BR-030</t>
  </si>
  <si>
    <t>Admin permissions</t>
  </si>
  <si>
    <t>F48</t>
  </si>
  <si>
    <t>UC-048</t>
  </si>
  <si>
    <t>BR-006</t>
  </si>
  <si>
    <t>Update cart item quantity</t>
  </si>
  <si>
    <t>Customer changes the quantity; API verifies ownership and availability.</t>
  </si>
  <si>
    <t>PATCH /cart/items/{itemId}</t>
  </si>
  <si>
    <t>BR-024, BR-029, BR-030</t>
  </si>
  <si>
    <t>Identity source</t>
  </si>
  <si>
    <t>F49</t>
  </si>
  <si>
    <t>UC-049</t>
  </si>
  <si>
    <t>Remove item from cart</t>
  </si>
  <si>
    <t>Customer removes an item; API verifies ownership and removes it.</t>
  </si>
  <si>
    <t>DELETE /cart/items/{itemId}</t>
  </si>
  <si>
    <t>BR-029</t>
  </si>
  <si>
    <t>BR-007</t>
  </si>
  <si>
    <t>F50</t>
  </si>
  <si>
    <t>UC-050</t>
  </si>
  <si>
    <t>Account status</t>
  </si>
  <si>
    <t>Clear cart</t>
  </si>
  <si>
    <t>Customer removes all items from their cart (no-op if already empty).</t>
  </si>
  <si>
    <t>DELETE /cart</t>
  </si>
  <si>
    <t>BR-008</t>
  </si>
  <si>
    <t>Unique email</t>
  </si>
  <si>
    <t>F51</t>
  </si>
  <si>
    <t>UC-051</t>
  </si>
  <si>
    <t>Preview checkout and calculate totals</t>
  </si>
  <si>
    <t>Customer selects address, shipping method and optional coupon; API checks prices, stock and coupon, then returns subtotal, discount, shipping and estimated total. No order is created.</t>
  </si>
  <si>
    <t>Authentication and User Data</t>
  </si>
  <si>
    <t>POST /checkout/preview</t>
  </si>
  <si>
    <t>Checkout</t>
  </si>
  <si>
    <t>BR-031–BR-035, BR-056, BR-058</t>
  </si>
  <si>
    <t>BR-009</t>
  </si>
  <si>
    <t>Password storage</t>
  </si>
  <si>
    <t>F52</t>
  </si>
  <si>
    <t>UC-052</t>
  </si>
  <si>
    <t>Place order</t>
  </si>
  <si>
    <t>API reloads prices/stock, validates address, coupon and payment method, calculates totals and, in one transaction, creates the order with snapshots, updates stock and records coupon usage.</t>
  </si>
  <si>
    <t>POST /orders</t>
  </si>
  <si>
    <t>Checkout › Order Confirmation</t>
  </si>
  <si>
    <t>BR-024, BR-025, BR-033–BR-039, BR-045, BR-058, BR-059, BR-074, BR-075</t>
  </si>
  <si>
    <t>BR-010</t>
  </si>
  <si>
    <t>Password reset</t>
  </si>
  <si>
    <t>F53</t>
  </si>
  <si>
    <t>UC-053</t>
  </si>
  <si>
    <t>View own order history</t>
  </si>
  <si>
    <t>Customer views a paginated list of their own orders.</t>
  </si>
  <si>
    <t>GET /orders</t>
  </si>
  <si>
    <t>Order History</t>
  </si>
  <si>
    <t>BR-038, BR-044</t>
  </si>
  <si>
    <t>F54</t>
  </si>
  <si>
    <t>UC-054</t>
  </si>
  <si>
    <t>View own order details</t>
  </si>
  <si>
    <t>Customer opens an order; API checks ownership and returns item snapshots, totals, delivery snapshot, order and payment status.</t>
  </si>
  <si>
    <t>BR-011</t>
  </si>
  <si>
    <t>GET /orders/{id}</t>
  </si>
  <si>
    <t>Order Detail</t>
  </si>
  <si>
    <t>BR-013, BR-038, BR-039, BR-046</t>
  </si>
  <si>
    <t>Profile update</t>
  </si>
  <si>
    <t>F55</t>
  </si>
  <si>
    <t>BR-012</t>
  </si>
  <si>
    <t>UC-055</t>
  </si>
  <si>
    <t>Cancel eligible own order</t>
  </si>
  <si>
    <t>Customer cancels an order in a cancellable state; API records it and restores inventory exactly once.</t>
  </si>
  <si>
    <t>POST /orders/{id}/cancel</t>
  </si>
  <si>
    <t>BR-028, BR-038, BR-040–BR-045, BR-053, BR-074, BR-075</t>
  </si>
  <si>
    <t>Address ownership</t>
  </si>
  <si>
    <t>BR-013</t>
  </si>
  <si>
    <t>F56</t>
  </si>
  <si>
    <t>UC-056</t>
  </si>
  <si>
    <t>Search and list all orders</t>
  </si>
  <si>
    <t>Actor searches/filters all orders by ID, status, customer or date.</t>
  </si>
  <si>
    <t>GET /admin/orders</t>
  </si>
  <si>
    <t>Admin Panel › Order Mgmt</t>
  </si>
  <si>
    <t>Order address snapshot</t>
  </si>
  <si>
    <t>BR-038, BR-043, BR-072</t>
  </si>
  <si>
    <t>F57</t>
  </si>
  <si>
    <t>BR-014</t>
  </si>
  <si>
    <t>UC-057</t>
  </si>
  <si>
    <t>Update order status</t>
  </si>
  <si>
    <t>Actor moves an order to the next status; API validates the transition and payment/inventory conditions and records actor and time.</t>
  </si>
  <si>
    <t>PATCH /admin/orders/{id}/status</t>
  </si>
  <si>
    <t>BR-040–BR-044, BR-046, BR-076</t>
  </si>
  <si>
    <t>Product status</t>
  </si>
  <si>
    <t>Product Catalog</t>
  </si>
  <si>
    <t>F58</t>
  </si>
  <si>
    <t>UC-058</t>
  </si>
  <si>
    <t>View payment status for own order</t>
  </si>
  <si>
    <t>Customer views payment method, amount and status of their own order.</t>
  </si>
  <si>
    <t>Category and brand references</t>
  </si>
  <si>
    <t>GET /orders/{orderId}/payment</t>
  </si>
  <si>
    <t>BR-038, BR-046, BR-052</t>
  </si>
  <si>
    <t>BR-016</t>
  </si>
  <si>
    <t>Product variants</t>
  </si>
  <si>
    <t>F59</t>
  </si>
  <si>
    <t>UC-059</t>
  </si>
  <si>
    <t>Initiate supported payment</t>
  </si>
  <si>
    <t>Customer chooses COD or bank transfer; API returns instructions. Payment stays pending and is never marked paid by the client.</t>
  </si>
  <si>
    <t>POST /orders/{orderId}/payment</t>
  </si>
  <si>
    <t>Checkout, Order Detail</t>
  </si>
  <si>
    <t>BR-046–BR-049, BR-052</t>
  </si>
  <si>
    <t>BR-017</t>
  </si>
  <si>
    <t>Unique SKU</t>
  </si>
  <si>
    <t>F60</t>
  </si>
  <si>
    <t>UC-060</t>
  </si>
  <si>
    <t>Actor verifies the transfer externally and confirms amount/reference; API records confirmer and time once.</t>
  </si>
  <si>
    <t>PATCH /admin/payments/{paymentId}/confirm</t>
  </si>
  <si>
    <t>BR-046, BR-048, BR-050–BR-052, BR-076</t>
  </si>
  <si>
    <t>BR-018</t>
  </si>
  <si>
    <t>Price validity</t>
  </si>
  <si>
    <t>F61</t>
  </si>
  <si>
    <t>UC-061</t>
  </si>
  <si>
    <t>Create coupon</t>
  </si>
  <si>
    <t>Admin defines code, discount, validity period, eligibility and usage limits; API validates and creates the coupon.</t>
  </si>
  <si>
    <t>POST /admin/coupons</t>
  </si>
  <si>
    <t>BR-054–BR-057, BR-071</t>
  </si>
  <si>
    <t>Product images</t>
  </si>
  <si>
    <t>Trần Thị Hồng Mai</t>
  </si>
  <si>
    <t>BR-020</t>
  </si>
  <si>
    <t>Referenced product deletion</t>
  </si>
  <si>
    <t>F62</t>
  </si>
  <si>
    <t>UC-062</t>
  </si>
  <si>
    <t>List and view coupons</t>
  </si>
  <si>
    <t>Admin lists/searches coupons and opens a coupon detail.</t>
  </si>
  <si>
    <t>GET /admin/coupons
GET /admin/coupons/{id} (proposed)</t>
  </si>
  <si>
    <t>BR-054–BR-056</t>
  </si>
  <si>
    <t>Public catalog filters</t>
  </si>
  <si>
    <t>F63</t>
  </si>
  <si>
    <t>UC-063</t>
  </si>
  <si>
    <t>BR-022</t>
  </si>
  <si>
    <t>Update coupon</t>
  </si>
  <si>
    <t>Admin edits coupon fields; API validates code, dates, discount and limits. Existing orders are not affected.</t>
  </si>
  <si>
    <t>PUT /admin/coupons/{id}</t>
  </si>
  <si>
    <t>Variant-level stock</t>
  </si>
  <si>
    <t>BR-054–BR-057, BR-060</t>
  </si>
  <si>
    <t>BR-023</t>
  </si>
  <si>
    <t>F64</t>
  </si>
  <si>
    <t>UC-064</t>
  </si>
  <si>
    <t>Delete or deactivate coupon</t>
  </si>
  <si>
    <t>Admin disables the coupon, or deletes it only if it has never been used.</t>
  </si>
  <si>
    <t>Non-negative stock</t>
  </si>
  <si>
    <t>DELETE /admin/coupons/{id}</t>
  </si>
  <si>
    <t>BR-055, BR-059, BR-060</t>
  </si>
  <si>
    <t>BR-024</t>
  </si>
  <si>
    <t>F65</t>
  </si>
  <si>
    <t>UC-065</t>
  </si>
  <si>
    <t>Server-side stock validation</t>
  </si>
  <si>
    <t>Validate coupon code</t>
  </si>
  <si>
    <t>Customer enters a code; API checks status, date window, minimum order, eligible products and usage limits. No usage is consumed.</t>
  </si>
  <si>
    <t>POST /coupons/validate</t>
  </si>
  <si>
    <t>BR-055–BR-059</t>
  </si>
  <si>
    <t>BR-025</t>
  </si>
  <si>
    <t>Atomic inventory changes</t>
  </si>
  <si>
    <t>F66</t>
  </si>
  <si>
    <t>UC-066</t>
  </si>
  <si>
    <t>BR-026</t>
  </si>
  <si>
    <t>Inventory adjustment permission</t>
  </si>
  <si>
    <t>Apply coupon to checkout</t>
  </si>
  <si>
    <t>Customer applies a valid coupon; API recalculates the discount. The coupon is revalidated when the order is placed.</t>
  </si>
  <si>
    <t>POST /checkout/preview (with couponCode)</t>
  </si>
  <si>
    <t>BR-033, BR-056–BR-059</t>
  </si>
  <si>
    <t>BR-027</t>
  </si>
  <si>
    <t>F67</t>
  </si>
  <si>
    <t>Inventory movement history</t>
  </si>
  <si>
    <t>UC-067</t>
  </si>
  <si>
    <t>Remove coupon from checkout</t>
  </si>
  <si>
    <t>Customer removes the coupon; API recalculates totals without it.</t>
  </si>
  <si>
    <t>POST /checkout/preview (without couponCode)</t>
  </si>
  <si>
    <t>BR-033, BR-059</t>
  </si>
  <si>
    <t>BR-028</t>
  </si>
  <si>
    <t>Cancellation stock policy</t>
  </si>
  <si>
    <t>F68</t>
  </si>
  <si>
    <t>UC-068</t>
  </si>
  <si>
    <t>Create product review</t>
  </si>
  <si>
    <t>Eligible Customer submits a rating and text; API validates purchase eligibility, rating range and duplicate policy.</t>
  </si>
  <si>
    <t>POST /products/{productId}/reviews</t>
  </si>
  <si>
    <t>Product Reviews</t>
  </si>
  <si>
    <t>BR-061, BR-063–BR-065, BR-071</t>
  </si>
  <si>
    <t>Cart ownership</t>
  </si>
  <si>
    <t>Cart and Checkout</t>
  </si>
  <si>
    <t>F69</t>
  </si>
  <si>
    <t>UC-069</t>
  </si>
  <si>
    <t>View reviews</t>
  </si>
  <si>
    <t>BR-030</t>
  </si>
  <si>
    <t>Actor views product reviews; public users see only visible reviews, Staff/Admin can see all for moderation.</t>
  </si>
  <si>
    <t>GET /products/{id}/reviews</t>
  </si>
  <si>
    <t>Valid cart item</t>
  </si>
  <si>
    <t>Product Detail, Product Reviews, Admin Panel › Review Moderation</t>
  </si>
  <si>
    <t>BR-065, BR-072</t>
  </si>
  <si>
    <t>BR-031</t>
  </si>
  <si>
    <t>F70</t>
  </si>
  <si>
    <t>UC-070</t>
  </si>
  <si>
    <t>Update own review</t>
  </si>
  <si>
    <t>Customer edits the rating/text of their own review; moderation state follows policy.</t>
  </si>
  <si>
    <t>Cart is not a price guarantee</t>
  </si>
  <si>
    <t>PUT /reviews/{id}</t>
  </si>
  <si>
    <t>BR-062–BR-065</t>
  </si>
  <si>
    <t>BR-032</t>
  </si>
  <si>
    <t>F71</t>
  </si>
  <si>
    <t>UC-071</t>
  </si>
  <si>
    <t>Delete own review</t>
  </si>
  <si>
    <t>Checkout address</t>
  </si>
  <si>
    <t>Customer deletes (or soft-deletes) their own review.</t>
  </si>
  <si>
    <t>DELETE /reviews/{id}</t>
  </si>
  <si>
    <t>BR-062, BR-065</t>
  </si>
  <si>
    <t>BR-033</t>
  </si>
  <si>
    <t>Server-calculated totals</t>
  </si>
  <si>
    <t>F72</t>
  </si>
  <si>
    <t>UC-072</t>
  </si>
  <si>
    <t>Moderate review</t>
  </si>
  <si>
    <t>Actor approves, hides or rejects a review; API records the decision and public visibility follows it.</t>
  </si>
  <si>
    <t>PATCH /admin/reviews/{id}/status</t>
  </si>
  <si>
    <t>BR-005, BR-065, BR-076</t>
  </si>
  <si>
    <t>BR-034</t>
  </si>
  <si>
    <t>Monetary precision</t>
  </si>
  <si>
    <t>F73</t>
  </si>
  <si>
    <t>UC-073</t>
  </si>
  <si>
    <t>View own wishlist</t>
  </si>
  <si>
    <t>Customer views their own wishlist entries.</t>
  </si>
  <si>
    <t>GET /users/me/wishlist</t>
  </si>
  <si>
    <t>BR-066</t>
  </si>
  <si>
    <t>Could</t>
  </si>
  <si>
    <t>BR-035</t>
  </si>
  <si>
    <t>Checkout consistency</t>
  </si>
  <si>
    <t>F74</t>
  </si>
  <si>
    <t>UC-074</t>
  </si>
  <si>
    <t>Add product to wishlist</t>
  </si>
  <si>
    <t>Customer adds a product; API prevents duplicate entries.</t>
  </si>
  <si>
    <t>POST /users/me/wishlist/items</t>
  </si>
  <si>
    <t>Product Detail, Wishlist</t>
  </si>
  <si>
    <t>BR-066, BR-071</t>
  </si>
  <si>
    <t>BR-036</t>
  </si>
  <si>
    <t>Duplicate submission</t>
  </si>
  <si>
    <t>BR-037</t>
  </si>
  <si>
    <t>F75</t>
  </si>
  <si>
    <t>UC-075</t>
  </si>
  <si>
    <t>Remove product from wishlist</t>
  </si>
  <si>
    <t>Customer removes a product from their wishlist.</t>
  </si>
  <si>
    <t>DELETE /users/me/wishlist/items/{productId}</t>
  </si>
  <si>
    <t>Cart cleanup</t>
  </si>
  <si>
    <t>F76</t>
  </si>
  <si>
    <t>UC-076</t>
  </si>
  <si>
    <t>View sales and order dashboard</t>
  </si>
  <si>
    <t>Admin views order and revenue metrics for a valid period.</t>
  </si>
  <si>
    <t>GET /admin/dashboard/summary</t>
  </si>
  <si>
    <t>Admin Panel › Dashboard</t>
  </si>
  <si>
    <t>BR-038</t>
  </si>
  <si>
    <t>BR-067–BR-069</t>
  </si>
  <si>
    <t>Order ownership</t>
  </si>
  <si>
    <t>Orders</t>
  </si>
  <si>
    <t>BR-039</t>
  </si>
  <si>
    <t>F77</t>
  </si>
  <si>
    <t>UC-077</t>
  </si>
  <si>
    <t>View order report</t>
  </si>
  <si>
    <t>Admin views order counts and summaries by date range/status.</t>
  </si>
  <si>
    <t>Order item snapshot</t>
  </si>
  <si>
    <t>GET /admin/reports/orders (proposed)</t>
  </si>
  <si>
    <t>BR-040</t>
  </si>
  <si>
    <t>Order states</t>
  </si>
  <si>
    <t>F78</t>
  </si>
  <si>
    <t>UC-078</t>
  </si>
  <si>
    <t>View best-selling products report</t>
  </si>
  <si>
    <t>Admin views products ranked by the agreed quantity/revenue definition for a period.</t>
  </si>
  <si>
    <t>GET /admin/reports/top-products</t>
  </si>
  <si>
    <t>BR-067, BR-069, BR-070</t>
  </si>
  <si>
    <t>BR-041</t>
  </si>
  <si>
    <t>Valid state transitions</t>
  </si>
  <si>
    <t>BR-042</t>
  </si>
  <si>
    <t>Customer cancellation</t>
  </si>
  <si>
    <t>BR-043</t>
  </si>
  <si>
    <t>Staff order processing</t>
  </si>
  <si>
    <t>BR-044</t>
  </si>
  <si>
    <t>Historical integrity</t>
  </si>
  <si>
    <t>MSSV</t>
  </si>
  <si>
    <t>Tên</t>
  </si>
  <si>
    <t>BR-045</t>
  </si>
  <si>
    <t>UC</t>
  </si>
  <si>
    <t>Order totals are immutable snapshots</t>
  </si>
  <si>
    <t>BR-046</t>
  </si>
  <si>
    <t>Separate payment and order states</t>
  </si>
  <si>
    <t>Payment</t>
  </si>
  <si>
    <t>BR-047</t>
  </si>
  <si>
    <t>Initial payment methods</t>
  </si>
  <si>
    <t>BR-048</t>
  </si>
  <si>
    <t>Customer cannot self-confirm payment</t>
  </si>
  <si>
    <t>BR-049</t>
  </si>
  <si>
    <t>COD status</t>
  </si>
  <si>
    <t>email git</t>
  </si>
  <si>
    <t>BR-050</t>
  </si>
  <si>
    <t>CE150499</t>
  </si>
  <si>
    <t>mai.tth2001@gmail.com</t>
  </si>
  <si>
    <t>Manual bank transfer</t>
  </si>
  <si>
    <t>CE190744</t>
  </si>
  <si>
    <t>phuctdm.dev@gmail.com</t>
  </si>
  <si>
    <t>CE181720</t>
  </si>
  <si>
    <t>oihi0942@gmail.com</t>
  </si>
  <si>
    <t>BR-051</t>
  </si>
  <si>
    <t>CE181640</t>
  </si>
  <si>
    <t>nhutkhangdmx2019@gmail.com</t>
  </si>
  <si>
    <t>Duplicate payment confirmation</t>
  </si>
  <si>
    <t>CE190743</t>
  </si>
  <si>
    <t>nguyenhoangminhddd@gmail.com</t>
  </si>
  <si>
    <t>BR-052</t>
  </si>
  <si>
    <t>Payment amount</t>
  </si>
  <si>
    <t>BR-053</t>
  </si>
  <si>
    <t>Refund policy</t>
  </si>
  <si>
    <t>BR-054</t>
  </si>
  <si>
    <t>Unique coupon code</t>
  </si>
  <si>
    <t>Promotions and Coupons</t>
  </si>
  <si>
    <t>BR-055</t>
  </si>
  <si>
    <t>Coupon validity window</t>
  </si>
  <si>
    <t>BR-056</t>
  </si>
  <si>
    <t>Coupon eligibility</t>
  </si>
  <si>
    <t>BR-057</t>
  </si>
  <si>
    <t>Discount bounds</t>
  </si>
  <si>
    <t>BR-058</t>
  </si>
  <si>
    <t>Coupon revalidation</t>
  </si>
  <si>
    <t>BR-059</t>
  </si>
  <si>
    <t>Coupon usage consistency</t>
  </si>
  <si>
    <t>BR-060</t>
  </si>
  <si>
    <t>Coupon updates</t>
  </si>
  <si>
    <t>BR-061</t>
  </si>
  <si>
    <t>Review eligibility</t>
  </si>
  <si>
    <t>Reviews and Wishlist</t>
  </si>
  <si>
    <t>BR-062</t>
  </si>
  <si>
    <t>Review ownership</t>
  </si>
  <si>
    <t>BR-063</t>
  </si>
  <si>
    <t>Review uniqueness</t>
  </si>
  <si>
    <t>BR-064</t>
  </si>
  <si>
    <t>Review rating</t>
  </si>
  <si>
    <t>BR-065</t>
  </si>
  <si>
    <t>Review moderation</t>
  </si>
  <si>
    <t>Wishlist ownership</t>
  </si>
  <si>
    <t>BR-067</t>
  </si>
  <si>
    <t>Admin-only reports</t>
  </si>
  <si>
    <t>Reporting</t>
  </si>
  <si>
    <t>BR-068</t>
  </si>
  <si>
    <t>Revenue definition</t>
  </si>
  <si>
    <t>BR-069</t>
  </si>
  <si>
    <t>Date range validation</t>
  </si>
  <si>
    <t>BR-070</t>
  </si>
  <si>
    <t>Best-selling calculation</t>
  </si>
  <si>
    <t>BR-071</t>
  </si>
  <si>
    <t>Server-side validation</t>
  </si>
  <si>
    <t>API and Data Integrity</t>
  </si>
  <si>
    <t>BR-072</t>
  </si>
  <si>
    <t>Consistent errors</t>
  </si>
  <si>
    <t>BR-073</t>
  </si>
  <si>
    <t>Database constraints</t>
  </si>
  <si>
    <t>BR-074</t>
  </si>
  <si>
    <t>Transaction boundaries</t>
  </si>
  <si>
    <t>BR-075</t>
  </si>
  <si>
    <t>Concurrency</t>
  </si>
  <si>
    <t>BR-076</t>
  </si>
  <si>
    <t>Audit-sensitive actions</t>
  </si>
  <si>
    <t>BR-077</t>
  </si>
  <si>
    <t>Secret handling</t>
  </si>
  <si>
    <t>BR-078</t>
  </si>
  <si>
    <t>Authentication enforcement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</si>
</sst>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3">
    <font>
      <sz val="11.0"/>
      <color theme="1"/>
      <name val="Calibri"/>
      <scheme val="minor"/>
    </font>
    <font>
      <b/>
      <sz val="16.0"/>
      <color rgb="FF1F4E79"/>
      <name val="Arial"/>
    </font>
    <font>
      <b/>
      <sz val="10.0"/>
      <color theme="1"/>
      <name val="Arial"/>
    </font>
    <font>
      <sz val="10.0"/>
      <color theme="1"/>
      <name val="Arial"/>
    </font>
    <font>
      <b/>
      <sz val="10.0"/>
      <color rgb="FFFFFFFF"/>
      <name val="Arial"/>
    </font>
    <font>
      <b/>
      <sz val="12.0"/>
      <color rgb="FF1F4E79"/>
      <name val="Arial"/>
    </font>
    <font>
      <b/>
      <sz val="10.0"/>
      <color rgb="FFFFFF00"/>
      <name val="Arial"/>
    </font>
    <font>
      <color theme="1"/>
      <name val="Calibri"/>
      <scheme val="minor"/>
    </font>
    <font>
      <sz val="9.0"/>
      <color theme="1"/>
      <name val="Consolas"/>
    </font>
    <font>
      <b/>
      <u/>
      <sz val="10.0"/>
      <color rgb="FFFFFF00"/>
      <name val="Arial"/>
    </font>
    <font/>
    <font>
      <i/>
      <sz val="9.0"/>
      <color theme="1"/>
      <name val="Arial"/>
    </font>
    <font>
      <u/>
      <sz val="10.0"/>
      <color rgb="FF0000FF"/>
      <name val="Arial"/>
    </font>
  </fonts>
  <fills count="9">
    <fill>
      <patternFill patternType="none"/>
    </fill>
    <fill>
      <patternFill patternType="lightGray"/>
    </fill>
    <fill>
      <patternFill patternType="solid">
        <fgColor rgb="FF1F4E79"/>
        <bgColor rgb="FF1F4E79"/>
      </patternFill>
    </fill>
    <fill>
      <patternFill patternType="solid">
        <fgColor rgb="FF93C47D"/>
        <bgColor rgb="FF93C47D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EEAF6"/>
        <bgColor rgb="FFDEEAF6"/>
      </patternFill>
    </fill>
    <fill>
      <patternFill patternType="solid">
        <fgColor rgb="FFFBE5E5"/>
        <bgColor rgb="FFFBE5E5"/>
      </patternFill>
    </fill>
    <fill>
      <patternFill patternType="solid">
        <fgColor rgb="FFEA9999"/>
        <bgColor rgb="FFEA9999"/>
      </patternFill>
    </fill>
  </fills>
  <borders count="6">
    <border/>
    <border>
      <left style="thin">
        <color rgb="FFBFC9D4"/>
      </left>
      <right style="thin">
        <color rgb="FFBFC9D4"/>
      </right>
      <top style="thin">
        <color rgb="FFBFC9D4"/>
      </top>
      <bottom style="thin">
        <color rgb="FFBFC9D4"/>
      </bottom>
    </border>
    <border>
      <left style="thin">
        <color rgb="FFBFC9D4"/>
      </left>
      <right style="thin">
        <color rgb="FFBFC9D4"/>
      </right>
      <top style="thin">
        <color rgb="FFBFC9D4"/>
      </top>
    </border>
    <border>
      <left style="thin">
        <color rgb="FFBFC9D4"/>
      </left>
      <right style="thin">
        <color rgb="FFBFC9D4"/>
      </right>
    </border>
    <border>
      <left style="thin">
        <color rgb="FFBFC9D4"/>
      </left>
      <right style="thin">
        <color rgb="FFBFC9D4"/>
      </right>
      <bottom style="thin">
        <color rgb="FFBFC9D4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1" fillId="2" fontId="4" numFmtId="0" xfId="0" applyAlignment="1" applyBorder="1" applyFill="1" applyFont="1">
      <alignment horizontal="center" shrinkToFit="0" vertical="center" wrapText="1"/>
    </xf>
    <xf borderId="0" fillId="0" fontId="5" numFmtId="0" xfId="0" applyFont="1"/>
    <xf borderId="0" fillId="0" fontId="3" numFmtId="0" xfId="0" applyAlignment="1" applyFont="1">
      <alignment readingOrder="0"/>
    </xf>
    <xf borderId="1" fillId="2" fontId="4" numFmtId="0" xfId="0" applyAlignment="1" applyBorder="1" applyFill="1" applyFont="1">
      <alignment horizontal="center" readingOrder="0" shrinkToFit="0" vertical="center" wrapText="1"/>
    </xf>
    <xf borderId="0" fillId="2" fontId="4" numFmtId="0" xfId="0" applyAlignment="1" applyFill="1" applyFont="1">
      <alignment horizontal="center" readingOrder="0" shrinkToFit="0" vertical="center" wrapText="1"/>
    </xf>
    <xf borderId="0" fillId="3" fontId="6" numFmtId="0" xfId="0" applyAlignment="1" applyFill="1" applyFont="1">
      <alignment horizontal="center" readingOrder="0" shrinkToFit="0" vertical="center" wrapText="1"/>
    </xf>
    <xf borderId="0" fillId="0" fontId="7" numFmtId="0" xfId="0" applyAlignment="1" applyFont="1">
      <alignment horizontal="center"/>
    </xf>
    <xf borderId="1" fillId="4" fontId="3" numFmtId="0" xfId="0" applyBorder="1" applyFill="1" applyFont="1"/>
    <xf borderId="1" fillId="0" fontId="3" numFmtId="0" xfId="0" applyAlignment="1" applyBorder="1" applyFont="1">
      <alignment shrinkToFit="0" vertical="top" wrapText="1"/>
    </xf>
    <xf borderId="1" fillId="0" fontId="3" numFmtId="0" xfId="0" applyAlignment="1" applyBorder="1" applyFont="1">
      <alignment horizontal="center" shrinkToFit="0" vertical="top" wrapText="1"/>
    </xf>
    <xf borderId="1" fillId="5" fontId="3" numFmtId="0" xfId="0" applyAlignment="1" applyBorder="1" applyFill="1" applyFont="1">
      <alignment horizontal="center" shrinkToFit="0" vertical="top" wrapText="1"/>
    </xf>
    <xf borderId="2" fillId="6" fontId="3" numFmtId="0" xfId="0" applyAlignment="1" applyBorder="1" applyFill="1" applyFont="1">
      <alignment shrinkToFit="0" vertical="center" wrapText="1"/>
    </xf>
    <xf borderId="1" fillId="0" fontId="2" numFmtId="0" xfId="0" applyAlignment="1" applyBorder="1" applyFont="1">
      <alignment horizontal="center" shrinkToFit="0" vertical="top" wrapText="1"/>
    </xf>
    <xf borderId="1" fillId="7" fontId="3" numFmtId="0" xfId="0" applyAlignment="1" applyBorder="1" applyFill="1" applyFont="1">
      <alignment horizontal="center" shrinkToFit="0" vertical="top" wrapText="1"/>
    </xf>
    <xf borderId="1" fillId="0" fontId="2" numFmtId="0" xfId="0" applyAlignment="1" applyBorder="1" applyFont="1">
      <alignment shrinkToFit="0" vertical="top" wrapText="1"/>
    </xf>
    <xf borderId="1" fillId="0" fontId="8" numFmtId="0" xfId="0" applyAlignment="1" applyBorder="1" applyFont="1">
      <alignment shrinkToFit="0" vertical="top" wrapText="1"/>
    </xf>
    <xf borderId="1" fillId="4" fontId="3" numFmtId="0" xfId="0" applyAlignment="1" applyBorder="1" applyFill="1" applyFont="1">
      <alignment horizontal="center" shrinkToFit="0" vertical="top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9" xfId="0" applyAlignment="1" applyBorder="1" applyFont="1" applyNumberFormat="1">
      <alignment horizontal="center" shrinkToFit="0" vertical="top" wrapText="1"/>
    </xf>
    <xf borderId="2" fillId="4" fontId="3" numFmtId="0" xfId="0" applyAlignment="1" applyBorder="1" applyFill="1" applyFont="1">
      <alignment horizontal="center" readingOrder="0" shrinkToFit="0" vertical="center" wrapText="1"/>
    </xf>
    <xf borderId="0" fillId="4" fontId="3" numFmtId="0" xfId="0" applyAlignment="1" applyFill="1" applyFont="1">
      <alignment horizontal="center" readingOrder="0" shrinkToFit="0" vertical="center" wrapText="1"/>
    </xf>
    <xf borderId="0" fillId="8" fontId="9" numFmtId="0" xfId="0" applyAlignment="1" applyFill="1" applyFont="1">
      <alignment horizontal="center" readingOrder="0" shrinkToFit="0" vertical="center" wrapText="1"/>
    </xf>
    <xf borderId="3" fillId="0" fontId="10" numFmtId="0" xfId="0" applyBorder="1" applyFont="1"/>
    <xf borderId="0" fillId="8" fontId="3" numFmtId="0" xfId="0" applyAlignment="1" applyFill="1" applyFont="1">
      <alignment horizontal="center" readingOrder="0" shrinkToFit="0" vertical="center" wrapText="1"/>
    </xf>
    <xf borderId="4" fillId="0" fontId="10" numFmtId="0" xfId="0" applyBorder="1" applyFont="1"/>
    <xf borderId="1" fillId="2" fontId="4" numFmtId="0" xfId="0" applyAlignment="1" applyBorder="1" applyFill="1" applyFont="1">
      <alignment horizontal="center" readingOrder="0" shrinkToFit="0" vertical="center" wrapText="1"/>
    </xf>
    <xf borderId="0" fillId="4" fontId="3" numFmtId="0" xfId="0" applyAlignment="1" applyFill="1" applyFont="1">
      <alignment horizontal="center" shrinkToFit="0" vertical="center" wrapText="1"/>
    </xf>
    <xf borderId="1" fillId="0" fontId="2" numFmtId="0" xfId="0" applyAlignment="1" applyBorder="1" applyFont="1">
      <alignment shrinkToFit="0" vertical="top" wrapText="1"/>
    </xf>
    <xf borderId="1" fillId="0" fontId="3" numFmtId="0" xfId="0" applyAlignment="1" applyBorder="1" applyFont="1">
      <alignment shrinkToFit="0" vertical="top" wrapText="1"/>
    </xf>
    <xf borderId="1" fillId="5" fontId="3" numFmtId="0" xfId="0" applyAlignment="1" applyBorder="1" applyFill="1" applyFont="1">
      <alignment horizontal="center" readingOrder="0" shrinkToFit="0" vertical="top" wrapText="1"/>
    </xf>
    <xf borderId="0" fillId="8" fontId="3" numFmtId="0" xfId="0" applyAlignment="1" applyFill="1" applyFont="1">
      <alignment horizontal="center" shrinkToFit="0" vertical="center" wrapText="1"/>
    </xf>
    <xf borderId="1" fillId="7" fontId="3" numFmtId="0" xfId="0" applyAlignment="1" applyBorder="1" applyFill="1" applyFont="1">
      <alignment horizontal="center" readingOrder="0" shrinkToFit="0" vertical="top" wrapText="1"/>
    </xf>
    <xf borderId="1" fillId="0" fontId="2" numFmtId="9" xfId="0" applyAlignment="1" applyBorder="1" applyFont="1" applyNumberFormat="1">
      <alignment horizontal="center" shrinkToFit="0" vertical="top" wrapText="1"/>
    </xf>
    <xf borderId="0" fillId="0" fontId="11" numFmtId="0" xfId="0" applyAlignment="1" applyFont="1">
      <alignment readingOrder="0"/>
    </xf>
    <xf borderId="2" fillId="0" fontId="3" numFmtId="0" xfId="0" applyAlignment="1" applyBorder="1" applyFont="1">
      <alignment horizontal="center" readingOrder="0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3" fillId="4" fontId="3" numFmtId="0" xfId="0" applyAlignment="1" applyBorder="1" applyFill="1" applyFont="1">
      <alignment horizontal="center" readingOrder="0" shrinkToFit="0" vertical="center" wrapText="1"/>
    </xf>
    <xf borderId="1" fillId="0" fontId="2" numFmtId="0" xfId="0" applyAlignment="1" applyBorder="1" applyFont="1">
      <alignment horizontal="center" shrinkToFit="0" vertical="top" wrapText="1"/>
    </xf>
    <xf borderId="0" fillId="8" fontId="12" numFmtId="0" xfId="0" applyAlignment="1" applyFill="1" applyFont="1">
      <alignment horizontal="center" readingOrder="0" shrinkToFit="0" vertical="center" wrapText="1"/>
    </xf>
    <xf borderId="0" fillId="8" fontId="3" numFmtId="0" xfId="0" applyAlignment="1" applyFill="1" applyFont="1">
      <alignment horizontal="center"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7" numFmtId="0" xfId="0" applyAlignment="1" applyFont="1">
      <alignment readingOrder="0"/>
    </xf>
    <xf borderId="0" fillId="0" fontId="7" numFmtId="0" xfId="0" applyAlignment="1" applyFont="1">
      <alignment vertical="center"/>
    </xf>
    <xf borderId="0" fillId="0" fontId="7" numFmtId="0" xfId="0" applyAlignment="1" applyFont="1">
      <alignment horizontal="center" vertical="center"/>
    </xf>
    <xf borderId="5" fillId="0" fontId="7" numFmtId="0" xfId="0" applyAlignment="1" applyBorder="1" applyFont="1">
      <alignment readingOrder="0"/>
    </xf>
    <xf borderId="5" fillId="0" fontId="7" numFmtId="0" xfId="0" applyAlignment="1" applyBorder="1" applyFont="1">
      <alignment readingOrder="0" vertical="center"/>
    </xf>
    <xf borderId="5" fillId="0" fontId="7" numFmtId="0" xfId="0" applyBorder="1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rgb="FFD8D8D8"/>
          <bgColor rgb="FFD8D8D8"/>
        </patternFill>
      </fill>
      <border/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/>
      <fill>
        <patternFill patternType="solid">
          <fgColor rgb="FFE2EFDA"/>
          <bgColor rgb="FFE2EFDA"/>
        </patternFill>
      </fill>
      <border/>
    </dxf>
    <dxf>
      <font/>
      <fill>
        <patternFill patternType="solid">
          <fgColor rgb="FFFCE4D6"/>
          <bgColor rgb="FFFCE4D6"/>
        </patternFill>
      </fill>
      <border/>
    </dxf>
    <dxf>
      <font/>
      <fill>
        <patternFill patternType="solid">
          <fgColor rgb="FFEDEDED"/>
          <bgColor rgb="FFEDEDED"/>
        </patternFill>
      </fill>
      <border/>
    </dxf>
  </dxfs>
  <tableStyles count="2">
    <tableStyle count="4" pivot="0" name="Roles-style">
      <tableStyleElement dxfId="1" type="headerRow"/>
      <tableStyleElement dxfId="2" type="firstRowStripe"/>
      <tableStyleElement dxfId="1" type="secondRowStripe"/>
      <tableStyleElement dxfId="3" size="0" type="wholeTable"/>
    </tableStyle>
    <tableStyle count="4" pivot="0" name="Business Rules-style">
      <tableStyleElement dxfId="1" type="headerRow"/>
      <tableStyleElement dxfId="2" type="firstRowStripe"/>
      <tableStyleElement dxfId="1" type="secondRowStripe"/>
      <tableStyleElement dxfId="3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5" displayName="Roles" name="Roles" id="1">
  <tableColumns count="4">
    <tableColumn name="Role" id="1"/>
    <tableColumn name="Type" id="2"/>
    <tableColumn name="Description" id="3"/>
    <tableColumn name="Mobile area" id="4"/>
  </tableColumns>
  <tableStyleInfo name="Roles-style" showColumnStripes="0" showFirstColumn="1" showLastColumn="1" showRowStripes="1"/>
</table>
</file>

<file path=xl/tables/table2.xml><?xml version="1.0" encoding="utf-8"?>
<table xmlns="http://schemas.openxmlformats.org/spreadsheetml/2006/main" ref="A1:C79" displayName="BusinessRules" name="BusinessRules" id="2">
  <tableColumns count="3">
    <tableColumn name="ID" id="1"/>
    <tableColumn name="Rule" id="2"/>
    <tableColumn name="Group" id="3"/>
  </tableColumns>
  <tableStyleInfo name="Business Rul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github.com/nilernous/sport-mate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1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4.0"/>
    <col customWidth="1" min="2" max="2" width="16.0"/>
    <col customWidth="1" min="3" max="4" width="12.0"/>
    <col customWidth="1" min="5" max="5" width="14.0"/>
    <col customWidth="1" min="6" max="6" width="40.0"/>
    <col customWidth="1" min="7" max="26" width="9.0"/>
  </cols>
  <sheetData>
    <row r="1" ht="14.25" customHeight="1">
      <c r="A1" s="1" t="s">
        <v>0</v>
      </c>
    </row>
    <row r="2" ht="14.25" customHeight="1"/>
    <row r="3" ht="14.25" customHeight="1">
      <c r="A3" s="2" t="s">
        <v>2</v>
      </c>
      <c r="B3" s="3" t="s">
        <v>3</v>
      </c>
    </row>
    <row r="4" ht="14.25" customHeight="1">
      <c r="A4" s="2" t="s">
        <v>4</v>
      </c>
      <c r="B4" s="3" t="s">
        <v>5</v>
      </c>
    </row>
    <row r="5" ht="14.25" customHeight="1">
      <c r="A5" s="2" t="s">
        <v>6</v>
      </c>
      <c r="B5" s="3" t="s">
        <v>7</v>
      </c>
    </row>
    <row r="6" ht="14.25" customHeight="1">
      <c r="A6" s="2" t="s">
        <v>8</v>
      </c>
      <c r="B6" s="3" t="s">
        <v>9</v>
      </c>
    </row>
    <row r="7" ht="14.25" customHeight="1">
      <c r="A7" s="2" t="s">
        <v>10</v>
      </c>
      <c r="B7" s="3" t="s">
        <v>12</v>
      </c>
    </row>
    <row r="8" ht="14.25" customHeight="1">
      <c r="A8" s="2" t="s">
        <v>14</v>
      </c>
      <c r="B8" s="3" t="s">
        <v>16</v>
      </c>
    </row>
    <row r="9" ht="14.25" customHeight="1"/>
    <row r="10" ht="14.25" customHeight="1">
      <c r="A10" s="5" t="s">
        <v>19</v>
      </c>
    </row>
    <row r="11" ht="14.25" customHeight="1">
      <c r="A11" s="6" t="s">
        <v>24</v>
      </c>
    </row>
    <row r="12" ht="14.25" customHeight="1">
      <c r="A12" s="6" t="s">
        <v>33</v>
      </c>
    </row>
    <row r="13" ht="14.25" customHeight="1">
      <c r="A13" s="6" t="s">
        <v>37</v>
      </c>
    </row>
    <row r="14" ht="14.25" customHeight="1">
      <c r="A14" s="6" t="s">
        <v>40</v>
      </c>
    </row>
    <row r="15" ht="14.25" customHeight="1">
      <c r="A15" s="6" t="s">
        <v>41</v>
      </c>
    </row>
    <row r="16" ht="14.25" customHeight="1">
      <c r="A16" s="11" t="s">
        <v>43</v>
      </c>
    </row>
    <row r="17" ht="14.25" customHeight="1"/>
    <row r="18" ht="14.25" customHeight="1">
      <c r="A18" s="5" t="s">
        <v>44</v>
      </c>
    </row>
    <row r="19" ht="14.25" customHeight="1">
      <c r="A19" s="4" t="s">
        <v>11</v>
      </c>
      <c r="B19" s="4" t="s">
        <v>46</v>
      </c>
      <c r="C19" s="4" t="s">
        <v>47</v>
      </c>
      <c r="D19" s="4" t="s">
        <v>48</v>
      </c>
      <c r="E19" s="4" t="s">
        <v>49</v>
      </c>
      <c r="F19" s="4" t="s">
        <v>50</v>
      </c>
    </row>
    <row r="20" ht="14.25" customHeight="1">
      <c r="A20" s="12" t="s">
        <v>51</v>
      </c>
      <c r="B20" s="12" t="s">
        <v>52</v>
      </c>
      <c r="C20" s="13">
        <f>COUNTIF(Features!$B$2:$B$79,A20)</f>
        <v>1</v>
      </c>
      <c r="D20" s="13">
        <f>COUNTIFS(Features!$B$2:$B$79,A20,Features!$P$2:$P$79,"&lt;&gt;")</f>
        <v>1</v>
      </c>
      <c r="E20" s="22">
        <f t="shared" ref="E20:E31" si="1">IF(C20=0,0,D20/C20)</f>
        <v>1</v>
      </c>
      <c r="F20" s="12" t="s">
        <v>79</v>
      </c>
    </row>
    <row r="21" ht="14.25" customHeight="1">
      <c r="A21" s="12" t="s">
        <v>80</v>
      </c>
      <c r="B21" s="12" t="s">
        <v>81</v>
      </c>
      <c r="C21" s="13">
        <f>COUNTIF(Features!$B$2:$B$79,A21)</f>
        <v>1</v>
      </c>
      <c r="D21" s="13">
        <f>COUNTIFS(Features!$B$2:$B$79,A21,Features!$P$2:$P$79,"&lt;&gt;")</f>
        <v>1</v>
      </c>
      <c r="E21" s="22">
        <f t="shared" si="1"/>
        <v>1</v>
      </c>
      <c r="F21" s="12" t="s">
        <v>83</v>
      </c>
    </row>
    <row r="22" ht="14.25" customHeight="1">
      <c r="A22" s="12" t="s">
        <v>84</v>
      </c>
      <c r="B22" s="12" t="s">
        <v>85</v>
      </c>
      <c r="C22" s="13">
        <f>COUNTIF(Features!$B$2:$B$79,A22)</f>
        <v>1</v>
      </c>
      <c r="D22" s="13">
        <f>COUNTIFS(Features!$B$2:$B$79,A22,Features!$P$2:$P$79,"&lt;&gt;")</f>
        <v>1</v>
      </c>
      <c r="E22" s="22">
        <f t="shared" si="1"/>
        <v>1</v>
      </c>
      <c r="F22" s="12" t="s">
        <v>79</v>
      </c>
    </row>
    <row r="23" ht="14.25" customHeight="1">
      <c r="A23" s="12" t="s">
        <v>93</v>
      </c>
      <c r="B23" s="12" t="s">
        <v>94</v>
      </c>
      <c r="C23" s="13">
        <f>COUNTIF(Features!$B$2:$B$79,A23)</f>
        <v>1</v>
      </c>
      <c r="D23" s="13">
        <f>COUNTIFS(Features!$B$2:$B$79,A23,Features!$P$2:$P$79,"&lt;&gt;")</f>
        <v>1</v>
      </c>
      <c r="E23" s="22">
        <f t="shared" si="1"/>
        <v>1</v>
      </c>
      <c r="F23" s="12" t="s">
        <v>104</v>
      </c>
    </row>
    <row r="24" ht="14.25" customHeight="1">
      <c r="A24" s="12" t="s">
        <v>107</v>
      </c>
      <c r="B24" s="12" t="s">
        <v>108</v>
      </c>
      <c r="C24" s="13">
        <f>COUNTIF(Features!$B$2:$B$79,A24)</f>
        <v>1</v>
      </c>
      <c r="D24" s="13">
        <f>COUNTIFS(Features!$B$2:$B$79,A24,Features!$P$2:$P$79,"&lt;&gt;")</f>
        <v>1</v>
      </c>
      <c r="E24" s="22">
        <f t="shared" si="1"/>
        <v>1</v>
      </c>
      <c r="F24" s="12" t="s">
        <v>28</v>
      </c>
    </row>
    <row r="25" ht="14.25" customHeight="1">
      <c r="A25" s="12" t="s">
        <v>121</v>
      </c>
      <c r="B25" s="12" t="s">
        <v>122</v>
      </c>
      <c r="C25" s="13">
        <f>COUNTIF(Features!$B$2:$B$79,A25)</f>
        <v>1</v>
      </c>
      <c r="D25" s="13">
        <f>COUNTIFS(Features!$B$2:$B$79,A25,Features!$P$2:$P$79,"&lt;&gt;")</f>
        <v>1</v>
      </c>
      <c r="E25" s="22">
        <f t="shared" si="1"/>
        <v>1</v>
      </c>
      <c r="F25" s="12" t="s">
        <v>83</v>
      </c>
    </row>
    <row r="26" ht="14.25" customHeight="1">
      <c r="A26" s="12" t="s">
        <v>131</v>
      </c>
      <c r="B26" s="12" t="s">
        <v>132</v>
      </c>
      <c r="C26" s="13">
        <f>COUNTIF(Features!$B$2:$B$79,A26)</f>
        <v>1</v>
      </c>
      <c r="D26" s="13">
        <f>COUNTIFS(Features!$B$2:$B$79,A26,Features!$P$2:$P$79,"&lt;&gt;")</f>
        <v>1</v>
      </c>
      <c r="E26" s="22">
        <f t="shared" si="1"/>
        <v>1</v>
      </c>
      <c r="F26" s="12" t="s">
        <v>83</v>
      </c>
    </row>
    <row r="27" ht="14.25" customHeight="1">
      <c r="A27" s="12" t="s">
        <v>147</v>
      </c>
      <c r="B27" s="12" t="s">
        <v>148</v>
      </c>
      <c r="C27" s="13">
        <f>COUNTIF(Features!$B$2:$B$79,A27)</f>
        <v>1</v>
      </c>
      <c r="D27" s="13">
        <f>COUNTIFS(Features!$B$2:$B$79,A27,Features!$P$2:$P$79,"&lt;&gt;")</f>
        <v>1</v>
      </c>
      <c r="E27" s="22">
        <f t="shared" si="1"/>
        <v>1</v>
      </c>
      <c r="F27" s="12" t="s">
        <v>162</v>
      </c>
    </row>
    <row r="28" ht="14.25" customHeight="1">
      <c r="A28" s="12" t="s">
        <v>164</v>
      </c>
      <c r="B28" s="12" t="s">
        <v>166</v>
      </c>
      <c r="C28" s="13">
        <f>COUNTIF(Features!$B$2:$B$79,A28)</f>
        <v>1</v>
      </c>
      <c r="D28" s="13">
        <f>COUNTIFS(Features!$B$2:$B$79,A28,Features!$P$2:$P$79,"&lt;&gt;")</f>
        <v>1</v>
      </c>
      <c r="E28" s="22">
        <f t="shared" si="1"/>
        <v>1</v>
      </c>
      <c r="F28" s="12" t="s">
        <v>79</v>
      </c>
    </row>
    <row r="29" ht="14.25" customHeight="1">
      <c r="A29" s="12" t="s">
        <v>180</v>
      </c>
      <c r="B29" s="12" t="s">
        <v>181</v>
      </c>
      <c r="C29" s="13">
        <f>COUNTIF(Features!$B$2:$B$79,A29)</f>
        <v>1</v>
      </c>
      <c r="D29" s="13">
        <f>COUNTIFS(Features!$B$2:$B$79,A29,Features!$P$2:$P$79,"&lt;&gt;")</f>
        <v>1</v>
      </c>
      <c r="E29" s="22">
        <f t="shared" si="1"/>
        <v>1</v>
      </c>
      <c r="F29" s="12" t="s">
        <v>28</v>
      </c>
    </row>
    <row r="30" ht="14.25" customHeight="1">
      <c r="A30" s="12" t="s">
        <v>195</v>
      </c>
      <c r="B30" s="12" t="s">
        <v>197</v>
      </c>
      <c r="C30" s="13">
        <f>COUNTIF(Features!$B$2:$B$79,A30)</f>
        <v>1</v>
      </c>
      <c r="D30" s="13">
        <f>COUNTIFS(Features!$B$2:$B$79,A30,Features!$P$2:$P$79,"&lt;&gt;")</f>
        <v>1</v>
      </c>
      <c r="E30" s="22">
        <f t="shared" si="1"/>
        <v>1</v>
      </c>
      <c r="F30" s="12" t="s">
        <v>31</v>
      </c>
    </row>
    <row r="31" ht="14.25" customHeight="1">
      <c r="A31" s="18" t="s">
        <v>238</v>
      </c>
      <c r="B31" s="18" t="s">
        <v>240</v>
      </c>
      <c r="C31" s="16">
        <f t="shared" ref="C31:D31" si="2">SUM(C20:C30)</f>
        <v>11</v>
      </c>
      <c r="D31" s="16">
        <f t="shared" si="2"/>
        <v>11</v>
      </c>
      <c r="E31" s="36">
        <f t="shared" si="1"/>
        <v>1</v>
      </c>
      <c r="F31" s="18" t="s">
        <v>79</v>
      </c>
    </row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5">
    <mergeCell ref="A11:F11"/>
    <mergeCell ref="A12:F12"/>
    <mergeCell ref="A13:F13"/>
    <mergeCell ref="A14:F14"/>
    <mergeCell ref="A15:F15"/>
  </mergeCells>
  <conditionalFormatting sqref="E20:E31">
    <cfRule type="expression" dxfId="4" priority="1">
      <formula>E20=1</formula>
    </cfRule>
  </conditionalFormatting>
  <printOptions/>
  <pageMargins bottom="1.0" footer="0.0" header="0.0" left="0.75" right="0.75" top="1.0"/>
  <pageSetup fitToHeight="0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4.43" defaultRowHeight="15.0"/>
  <cols>
    <col customWidth="1" min="1" max="1" width="12.0"/>
    <col customWidth="1" min="2" max="2" width="21.43"/>
    <col customWidth="1" min="3" max="3" width="9.0"/>
    <col customWidth="1" min="4" max="4" width="10.0"/>
    <col customWidth="1" min="5" max="5" width="11.86"/>
    <col customWidth="1" min="6" max="6" width="111.86"/>
    <col customWidth="1" min="7" max="7" width="16.0"/>
    <col customWidth="1" min="8" max="8" width="44.0"/>
    <col customWidth="1" min="9" max="9" width="30.0"/>
    <col customWidth="1" min="10" max="10" width="22.0"/>
    <col customWidth="1" min="11" max="11" width="13.43"/>
    <col customWidth="1" min="12" max="14" width="17.43"/>
    <col customWidth="1" min="15" max="15" width="16.71"/>
    <col customWidth="1" min="16" max="18" width="18.0"/>
    <col customWidth="1" min="19" max="19" width="23.29"/>
    <col customWidth="1" min="20" max="32" width="9.0"/>
  </cols>
  <sheetData>
    <row r="1" ht="30.0" customHeight="1">
      <c r="A1" s="4" t="s">
        <v>1</v>
      </c>
      <c r="B1" s="4" t="s">
        <v>11</v>
      </c>
      <c r="C1" s="4" t="s">
        <v>13</v>
      </c>
      <c r="D1" s="4" t="s">
        <v>15</v>
      </c>
      <c r="E1" s="4" t="s">
        <v>17</v>
      </c>
      <c r="F1" s="4" t="s">
        <v>20</v>
      </c>
      <c r="G1" s="4" t="s">
        <v>21</v>
      </c>
      <c r="H1" s="4" t="s">
        <v>22</v>
      </c>
      <c r="I1" s="4" t="s">
        <v>23</v>
      </c>
      <c r="J1" s="4" t="s">
        <v>25</v>
      </c>
      <c r="K1" s="4" t="s">
        <v>27</v>
      </c>
      <c r="L1" s="7" t="s">
        <v>29</v>
      </c>
      <c r="M1" s="7" t="s">
        <v>32</v>
      </c>
      <c r="N1" s="7" t="s">
        <v>34</v>
      </c>
      <c r="O1" s="7" t="s">
        <v>35</v>
      </c>
      <c r="P1" s="4" t="s">
        <v>36</v>
      </c>
      <c r="Q1" s="8" t="s">
        <v>39</v>
      </c>
      <c r="R1" s="9" t="s">
        <v>42</v>
      </c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</row>
    <row r="2" ht="14.25" customHeight="1">
      <c r="A2" s="13">
        <v>1.0</v>
      </c>
      <c r="B2" s="15" t="s">
        <v>51</v>
      </c>
      <c r="C2" s="16" t="s">
        <v>54</v>
      </c>
      <c r="D2" s="13" t="s">
        <v>56</v>
      </c>
      <c r="E2" s="18" t="s">
        <v>57</v>
      </c>
      <c r="F2" s="12" t="s">
        <v>58</v>
      </c>
      <c r="G2" s="12" t="s">
        <v>26</v>
      </c>
      <c r="H2" s="19" t="s">
        <v>60</v>
      </c>
      <c r="I2" s="12" t="s">
        <v>61</v>
      </c>
      <c r="J2" s="12" t="s">
        <v>62</v>
      </c>
      <c r="K2" s="13" t="s">
        <v>64</v>
      </c>
      <c r="L2" s="21" t="s">
        <v>71</v>
      </c>
      <c r="M2" s="21" t="s">
        <v>75</v>
      </c>
      <c r="N2" s="21" t="s">
        <v>76</v>
      </c>
      <c r="O2" s="21" t="s">
        <v>77</v>
      </c>
      <c r="P2" s="23" t="s">
        <v>78</v>
      </c>
      <c r="Q2" s="24">
        <v>17.0</v>
      </c>
      <c r="R2" s="25" t="s">
        <v>82</v>
      </c>
    </row>
    <row r="3" ht="14.25" customHeight="1">
      <c r="A3" s="13">
        <v>2.0</v>
      </c>
      <c r="B3" s="26"/>
      <c r="C3" s="16" t="s">
        <v>86</v>
      </c>
      <c r="D3" s="13" t="s">
        <v>87</v>
      </c>
      <c r="E3" s="18" t="s">
        <v>88</v>
      </c>
      <c r="F3" s="12" t="s">
        <v>89</v>
      </c>
      <c r="G3" s="12" t="s">
        <v>26</v>
      </c>
      <c r="H3" s="19" t="s">
        <v>90</v>
      </c>
      <c r="I3" s="12" t="s">
        <v>91</v>
      </c>
      <c r="J3" s="12" t="s">
        <v>92</v>
      </c>
      <c r="K3" s="13" t="s">
        <v>64</v>
      </c>
      <c r="L3" s="21" t="s">
        <v>71</v>
      </c>
      <c r="M3" s="21" t="s">
        <v>75</v>
      </c>
      <c r="N3" s="21" t="s">
        <v>76</v>
      </c>
      <c r="O3" s="21" t="s">
        <v>77</v>
      </c>
      <c r="P3" s="26"/>
      <c r="Q3" s="24"/>
      <c r="R3" s="27"/>
    </row>
    <row r="4" ht="14.25" customHeight="1">
      <c r="A4" s="13">
        <v>3.0</v>
      </c>
      <c r="B4" s="26"/>
      <c r="C4" s="16" t="s">
        <v>95</v>
      </c>
      <c r="D4" s="13" t="s">
        <v>96</v>
      </c>
      <c r="E4" s="18" t="s">
        <v>97</v>
      </c>
      <c r="F4" s="12" t="s">
        <v>98</v>
      </c>
      <c r="G4" s="12" t="s">
        <v>83</v>
      </c>
      <c r="H4" s="19" t="s">
        <v>99</v>
      </c>
      <c r="I4" s="12" t="s">
        <v>100</v>
      </c>
      <c r="J4" s="12" t="s">
        <v>101</v>
      </c>
      <c r="K4" s="13" t="s">
        <v>64</v>
      </c>
      <c r="L4" s="21" t="s">
        <v>71</v>
      </c>
      <c r="M4" s="21" t="s">
        <v>75</v>
      </c>
      <c r="N4" s="21" t="s">
        <v>76</v>
      </c>
      <c r="O4" s="21" t="s">
        <v>77</v>
      </c>
      <c r="P4" s="26"/>
      <c r="Q4" s="24"/>
      <c r="R4" s="27"/>
    </row>
    <row r="5" ht="14.25" customHeight="1">
      <c r="A5" s="13">
        <v>4.0</v>
      </c>
      <c r="B5" s="26"/>
      <c r="C5" s="16" t="s">
        <v>102</v>
      </c>
      <c r="D5" s="13" t="s">
        <v>103</v>
      </c>
      <c r="E5" s="18" t="s">
        <v>105</v>
      </c>
      <c r="F5" s="12" t="s">
        <v>106</v>
      </c>
      <c r="G5" s="12" t="s">
        <v>26</v>
      </c>
      <c r="H5" s="19" t="s">
        <v>109</v>
      </c>
      <c r="I5" s="12" t="s">
        <v>110</v>
      </c>
      <c r="J5" s="12" t="s">
        <v>111</v>
      </c>
      <c r="K5" s="13" t="s">
        <v>112</v>
      </c>
      <c r="L5" s="21" t="s">
        <v>71</v>
      </c>
      <c r="M5" s="21" t="s">
        <v>75</v>
      </c>
      <c r="N5" s="21" t="s">
        <v>76</v>
      </c>
      <c r="O5" s="21" t="s">
        <v>77</v>
      </c>
      <c r="P5" s="26"/>
      <c r="Q5" s="24"/>
      <c r="R5" s="27"/>
    </row>
    <row r="6" ht="14.25" customHeight="1">
      <c r="A6" s="13">
        <v>5.0</v>
      </c>
      <c r="B6" s="28"/>
      <c r="C6" s="16" t="s">
        <v>114</v>
      </c>
      <c r="D6" s="13" t="s">
        <v>115</v>
      </c>
      <c r="E6" s="18" t="s">
        <v>116</v>
      </c>
      <c r="F6" s="12" t="s">
        <v>117</v>
      </c>
      <c r="G6" s="12" t="s">
        <v>26</v>
      </c>
      <c r="H6" s="19" t="s">
        <v>118</v>
      </c>
      <c r="I6" s="12" t="s">
        <v>119</v>
      </c>
      <c r="J6" s="12" t="s">
        <v>120</v>
      </c>
      <c r="K6" s="13" t="s">
        <v>112</v>
      </c>
      <c r="L6" s="21" t="s">
        <v>71</v>
      </c>
      <c r="M6" s="21" t="s">
        <v>75</v>
      </c>
      <c r="N6" s="21" t="s">
        <v>76</v>
      </c>
      <c r="O6" s="21" t="s">
        <v>77</v>
      </c>
      <c r="P6" s="28"/>
      <c r="Q6" s="24"/>
      <c r="R6" s="27"/>
    </row>
    <row r="7" ht="14.25" customHeight="1">
      <c r="A7" s="13">
        <v>6.0</v>
      </c>
      <c r="B7" s="15" t="s">
        <v>80</v>
      </c>
      <c r="C7" s="16" t="s">
        <v>123</v>
      </c>
      <c r="D7" s="13" t="s">
        <v>124</v>
      </c>
      <c r="E7" s="18" t="s">
        <v>125</v>
      </c>
      <c r="F7" s="12" t="s">
        <v>126</v>
      </c>
      <c r="G7" s="12" t="s">
        <v>83</v>
      </c>
      <c r="H7" s="19" t="s">
        <v>127</v>
      </c>
      <c r="I7" s="12" t="s">
        <v>128</v>
      </c>
      <c r="J7" s="12" t="s">
        <v>129</v>
      </c>
      <c r="K7" s="13" t="s">
        <v>64</v>
      </c>
      <c r="L7" s="21" t="s">
        <v>71</v>
      </c>
      <c r="M7" s="21" t="s">
        <v>75</v>
      </c>
      <c r="N7" s="21" t="s">
        <v>76</v>
      </c>
      <c r="O7" s="21" t="s">
        <v>77</v>
      </c>
      <c r="P7" s="23" t="s">
        <v>78</v>
      </c>
      <c r="Q7" s="30"/>
      <c r="R7" s="27"/>
    </row>
    <row r="8" ht="14.25" customHeight="1">
      <c r="A8" s="13">
        <v>7.0</v>
      </c>
      <c r="B8" s="26"/>
      <c r="C8" s="16" t="s">
        <v>133</v>
      </c>
      <c r="D8" s="13" t="s">
        <v>134</v>
      </c>
      <c r="E8" s="18" t="s">
        <v>135</v>
      </c>
      <c r="F8" s="12" t="s">
        <v>137</v>
      </c>
      <c r="G8" s="12" t="s">
        <v>83</v>
      </c>
      <c r="H8" s="19" t="s">
        <v>138</v>
      </c>
      <c r="I8" s="12" t="s">
        <v>100</v>
      </c>
      <c r="J8" s="12" t="s">
        <v>139</v>
      </c>
      <c r="K8" s="13" t="s">
        <v>64</v>
      </c>
      <c r="L8" s="21" t="s">
        <v>71</v>
      </c>
      <c r="M8" s="21" t="s">
        <v>75</v>
      </c>
      <c r="N8" s="21" t="s">
        <v>76</v>
      </c>
      <c r="O8" s="21" t="s">
        <v>77</v>
      </c>
      <c r="P8" s="26"/>
      <c r="Q8" s="30"/>
      <c r="R8" s="27"/>
    </row>
    <row r="9" ht="14.25" customHeight="1">
      <c r="A9" s="13">
        <v>8.0</v>
      </c>
      <c r="B9" s="26"/>
      <c r="C9" s="16" t="s">
        <v>140</v>
      </c>
      <c r="D9" s="13" t="s">
        <v>141</v>
      </c>
      <c r="E9" s="18" t="s">
        <v>142</v>
      </c>
      <c r="F9" s="12" t="s">
        <v>143</v>
      </c>
      <c r="G9" s="12" t="s">
        <v>83</v>
      </c>
      <c r="H9" s="19" t="s">
        <v>144</v>
      </c>
      <c r="I9" s="12" t="s">
        <v>145</v>
      </c>
      <c r="J9" s="12" t="s">
        <v>146</v>
      </c>
      <c r="K9" s="13" t="s">
        <v>64</v>
      </c>
      <c r="L9" s="21" t="s">
        <v>71</v>
      </c>
      <c r="M9" s="21" t="s">
        <v>75</v>
      </c>
      <c r="N9" s="21" t="s">
        <v>76</v>
      </c>
      <c r="O9" s="21" t="s">
        <v>77</v>
      </c>
      <c r="P9" s="26"/>
      <c r="Q9" s="30"/>
      <c r="R9" s="27"/>
    </row>
    <row r="10" ht="14.25" customHeight="1">
      <c r="A10" s="13">
        <v>9.0</v>
      </c>
      <c r="B10" s="26"/>
      <c r="C10" s="16" t="s">
        <v>150</v>
      </c>
      <c r="D10" s="13" t="s">
        <v>151</v>
      </c>
      <c r="E10" s="18" t="s">
        <v>152</v>
      </c>
      <c r="F10" s="12" t="s">
        <v>153</v>
      </c>
      <c r="G10" s="12" t="s">
        <v>28</v>
      </c>
      <c r="H10" s="19" t="s">
        <v>154</v>
      </c>
      <c r="I10" s="12" t="s">
        <v>155</v>
      </c>
      <c r="J10" s="12" t="s">
        <v>156</v>
      </c>
      <c r="K10" s="13" t="s">
        <v>64</v>
      </c>
      <c r="L10" s="21" t="s">
        <v>71</v>
      </c>
      <c r="M10" s="21" t="s">
        <v>75</v>
      </c>
      <c r="N10" s="21" t="s">
        <v>76</v>
      </c>
      <c r="O10" s="21" t="s">
        <v>77</v>
      </c>
      <c r="P10" s="26"/>
      <c r="Q10" s="30"/>
      <c r="R10" s="27"/>
    </row>
    <row r="11" ht="14.25" customHeight="1">
      <c r="A11" s="13">
        <v>10.0</v>
      </c>
      <c r="B11" s="26"/>
      <c r="C11" s="16" t="s">
        <v>159</v>
      </c>
      <c r="D11" s="13" t="s">
        <v>160</v>
      </c>
      <c r="E11" s="18" t="s">
        <v>161</v>
      </c>
      <c r="F11" s="12" t="s">
        <v>163</v>
      </c>
      <c r="G11" s="12" t="s">
        <v>28</v>
      </c>
      <c r="H11" s="19" t="s">
        <v>165</v>
      </c>
      <c r="I11" s="12" t="s">
        <v>155</v>
      </c>
      <c r="J11" s="12" t="s">
        <v>167</v>
      </c>
      <c r="K11" s="13" t="s">
        <v>64</v>
      </c>
      <c r="L11" s="21" t="s">
        <v>168</v>
      </c>
      <c r="M11" s="21" t="s">
        <v>169</v>
      </c>
      <c r="N11" s="21" t="s">
        <v>170</v>
      </c>
      <c r="O11" s="21" t="s">
        <v>77</v>
      </c>
      <c r="P11" s="26"/>
      <c r="Q11" s="30"/>
      <c r="R11" s="27"/>
    </row>
    <row r="12" ht="14.25" customHeight="1">
      <c r="A12" s="13">
        <v>11.0</v>
      </c>
      <c r="B12" s="26"/>
      <c r="C12" s="16" t="s">
        <v>172</v>
      </c>
      <c r="D12" s="13" t="s">
        <v>173</v>
      </c>
      <c r="E12" s="18" t="s">
        <v>174</v>
      </c>
      <c r="F12" s="12" t="s">
        <v>175</v>
      </c>
      <c r="G12" s="12" t="s">
        <v>28</v>
      </c>
      <c r="H12" s="19" t="s">
        <v>176</v>
      </c>
      <c r="I12" s="12" t="s">
        <v>155</v>
      </c>
      <c r="J12" s="12" t="s">
        <v>177</v>
      </c>
      <c r="K12" s="13" t="s">
        <v>64</v>
      </c>
      <c r="L12" s="21" t="s">
        <v>168</v>
      </c>
      <c r="M12" s="21" t="s">
        <v>169</v>
      </c>
      <c r="N12" s="21" t="s">
        <v>170</v>
      </c>
      <c r="O12" s="21" t="s">
        <v>77</v>
      </c>
      <c r="P12" s="26"/>
      <c r="Q12" s="30"/>
      <c r="R12" s="27"/>
    </row>
    <row r="13" ht="14.25" customHeight="1">
      <c r="A13" s="13">
        <v>12.0</v>
      </c>
      <c r="B13" s="26"/>
      <c r="C13" s="16" t="s">
        <v>182</v>
      </c>
      <c r="D13" s="13" t="s">
        <v>183</v>
      </c>
      <c r="E13" s="18" t="s">
        <v>184</v>
      </c>
      <c r="F13" s="12" t="s">
        <v>185</v>
      </c>
      <c r="G13" s="12" t="s">
        <v>28</v>
      </c>
      <c r="H13" s="19" t="s">
        <v>186</v>
      </c>
      <c r="I13" s="12" t="s">
        <v>155</v>
      </c>
      <c r="J13" s="12" t="s">
        <v>177</v>
      </c>
      <c r="K13" s="13" t="s">
        <v>64</v>
      </c>
      <c r="L13" s="21" t="s">
        <v>168</v>
      </c>
      <c r="M13" s="21" t="s">
        <v>169</v>
      </c>
      <c r="N13" s="21" t="s">
        <v>170</v>
      </c>
      <c r="O13" s="21" t="s">
        <v>77</v>
      </c>
      <c r="P13" s="28"/>
      <c r="Q13" s="30"/>
      <c r="R13" s="27"/>
    </row>
    <row r="14" ht="14.25" customHeight="1">
      <c r="A14" s="13">
        <v>13.0</v>
      </c>
      <c r="B14" s="26"/>
      <c r="C14" s="16" t="s">
        <v>188</v>
      </c>
      <c r="D14" s="13" t="s">
        <v>189</v>
      </c>
      <c r="E14" s="18" t="s">
        <v>190</v>
      </c>
      <c r="F14" s="12" t="s">
        <v>191</v>
      </c>
      <c r="G14" s="12" t="s">
        <v>31</v>
      </c>
      <c r="H14" s="19" t="s">
        <v>194</v>
      </c>
      <c r="I14" s="12" t="s">
        <v>196</v>
      </c>
      <c r="J14" s="12" t="s">
        <v>198</v>
      </c>
      <c r="K14" s="13" t="s">
        <v>112</v>
      </c>
      <c r="L14" s="21" t="s">
        <v>199</v>
      </c>
      <c r="M14" s="21" t="s">
        <v>200</v>
      </c>
      <c r="N14" s="21" t="s">
        <v>201</v>
      </c>
      <c r="O14" s="21" t="s">
        <v>202</v>
      </c>
      <c r="P14" s="23" t="s">
        <v>78</v>
      </c>
      <c r="Q14" s="30"/>
      <c r="R14" s="34"/>
    </row>
    <row r="15" ht="14.25" customHeight="1">
      <c r="A15" s="13">
        <v>14.0</v>
      </c>
      <c r="B15" s="26"/>
      <c r="C15" s="16" t="s">
        <v>209</v>
      </c>
      <c r="D15" s="13" t="s">
        <v>210</v>
      </c>
      <c r="E15" s="18" t="s">
        <v>211</v>
      </c>
      <c r="F15" s="12" t="s">
        <v>212</v>
      </c>
      <c r="G15" s="12" t="s">
        <v>31</v>
      </c>
      <c r="H15" s="19" t="s">
        <v>213</v>
      </c>
      <c r="I15" s="12" t="s">
        <v>196</v>
      </c>
      <c r="J15" s="12" t="s">
        <v>216</v>
      </c>
      <c r="K15" s="13" t="s">
        <v>64</v>
      </c>
      <c r="L15" s="21" t="s">
        <v>199</v>
      </c>
      <c r="M15" s="21" t="s">
        <v>200</v>
      </c>
      <c r="N15" s="21" t="s">
        <v>201</v>
      </c>
      <c r="O15" s="21" t="s">
        <v>202</v>
      </c>
      <c r="P15" s="26"/>
      <c r="Q15" s="30"/>
      <c r="R15" s="34"/>
    </row>
    <row r="16" ht="14.25" customHeight="1">
      <c r="A16" s="13">
        <v>15.0</v>
      </c>
      <c r="B16" s="26"/>
      <c r="C16" s="16" t="s">
        <v>222</v>
      </c>
      <c r="D16" s="13" t="s">
        <v>223</v>
      </c>
      <c r="E16" s="18" t="s">
        <v>224</v>
      </c>
      <c r="F16" s="12" t="s">
        <v>226</v>
      </c>
      <c r="G16" s="12" t="s">
        <v>31</v>
      </c>
      <c r="H16" s="19" t="s">
        <v>228</v>
      </c>
      <c r="I16" s="12" t="s">
        <v>196</v>
      </c>
      <c r="J16" s="12" t="s">
        <v>229</v>
      </c>
      <c r="K16" s="13" t="s">
        <v>112</v>
      </c>
      <c r="L16" s="21" t="s">
        <v>199</v>
      </c>
      <c r="M16" s="21" t="s">
        <v>200</v>
      </c>
      <c r="N16" s="21" t="s">
        <v>201</v>
      </c>
      <c r="O16" s="21" t="s">
        <v>202</v>
      </c>
      <c r="P16" s="26"/>
      <c r="Q16" s="30"/>
      <c r="R16" s="34"/>
    </row>
    <row r="17" ht="14.25" customHeight="1">
      <c r="A17" s="13">
        <v>16.0</v>
      </c>
      <c r="B17" s="26"/>
      <c r="C17" s="16" t="s">
        <v>235</v>
      </c>
      <c r="D17" s="13" t="s">
        <v>237</v>
      </c>
      <c r="E17" s="18" t="s">
        <v>239</v>
      </c>
      <c r="F17" s="12" t="s">
        <v>241</v>
      </c>
      <c r="G17" s="12" t="s">
        <v>31</v>
      </c>
      <c r="H17" s="19" t="s">
        <v>242</v>
      </c>
      <c r="I17" s="12" t="s">
        <v>196</v>
      </c>
      <c r="J17" s="12" t="s">
        <v>243</v>
      </c>
      <c r="K17" s="13" t="s">
        <v>64</v>
      </c>
      <c r="L17" s="21" t="s">
        <v>199</v>
      </c>
      <c r="M17" s="21" t="s">
        <v>200</v>
      </c>
      <c r="N17" s="21" t="s">
        <v>201</v>
      </c>
      <c r="O17" s="21" t="s">
        <v>202</v>
      </c>
      <c r="P17" s="26"/>
      <c r="Q17" s="30"/>
      <c r="R17" s="34"/>
    </row>
    <row r="18" ht="14.25" customHeight="1">
      <c r="A18" s="13">
        <v>17.0</v>
      </c>
      <c r="B18" s="28"/>
      <c r="C18" s="16" t="s">
        <v>249</v>
      </c>
      <c r="D18" s="13" t="s">
        <v>250</v>
      </c>
      <c r="E18" s="18" t="s">
        <v>251</v>
      </c>
      <c r="F18" s="12" t="s">
        <v>253</v>
      </c>
      <c r="G18" s="12" t="s">
        <v>31</v>
      </c>
      <c r="H18" s="19" t="s">
        <v>254</v>
      </c>
      <c r="I18" s="12" t="s">
        <v>196</v>
      </c>
      <c r="J18" s="12" t="s">
        <v>255</v>
      </c>
      <c r="K18" s="13" t="s">
        <v>64</v>
      </c>
      <c r="L18" s="21" t="s">
        <v>199</v>
      </c>
      <c r="M18" s="21" t="s">
        <v>200</v>
      </c>
      <c r="N18" s="21" t="s">
        <v>201</v>
      </c>
      <c r="O18" s="21" t="s">
        <v>202</v>
      </c>
      <c r="P18" s="26"/>
      <c r="Q18" s="30"/>
      <c r="R18" s="34"/>
    </row>
    <row r="19" ht="14.25" customHeight="1">
      <c r="A19" s="13">
        <v>18.0</v>
      </c>
      <c r="B19" s="15" t="s">
        <v>84</v>
      </c>
      <c r="C19" s="16" t="s">
        <v>265</v>
      </c>
      <c r="D19" s="13" t="s">
        <v>266</v>
      </c>
      <c r="E19" s="18" t="s">
        <v>267</v>
      </c>
      <c r="F19" s="12" t="s">
        <v>268</v>
      </c>
      <c r="G19" s="12" t="s">
        <v>104</v>
      </c>
      <c r="H19" s="19" t="s">
        <v>269</v>
      </c>
      <c r="I19" s="12" t="s">
        <v>247</v>
      </c>
      <c r="J19" s="12" t="s">
        <v>270</v>
      </c>
      <c r="K19" s="13" t="s">
        <v>64</v>
      </c>
      <c r="L19" s="21" t="s">
        <v>71</v>
      </c>
      <c r="M19" s="21" t="s">
        <v>75</v>
      </c>
      <c r="N19" s="21" t="s">
        <v>76</v>
      </c>
      <c r="O19" s="21" t="s">
        <v>77</v>
      </c>
      <c r="P19" s="23" t="s">
        <v>271</v>
      </c>
      <c r="Q19" s="30"/>
      <c r="R19" s="27"/>
    </row>
    <row r="20" ht="14.25" customHeight="1">
      <c r="A20" s="13">
        <v>19.0</v>
      </c>
      <c r="B20" s="26"/>
      <c r="C20" s="16" t="s">
        <v>272</v>
      </c>
      <c r="D20" s="13" t="s">
        <v>273</v>
      </c>
      <c r="E20" s="18" t="s">
        <v>274</v>
      </c>
      <c r="F20" s="12" t="s">
        <v>275</v>
      </c>
      <c r="G20" s="12" t="s">
        <v>104</v>
      </c>
      <c r="H20" s="19" t="s">
        <v>276</v>
      </c>
      <c r="I20" s="12" t="s">
        <v>247</v>
      </c>
      <c r="J20" s="12" t="s">
        <v>277</v>
      </c>
      <c r="K20" s="13" t="s">
        <v>64</v>
      </c>
      <c r="L20" s="21" t="s">
        <v>71</v>
      </c>
      <c r="M20" s="21" t="s">
        <v>75</v>
      </c>
      <c r="N20" s="21" t="s">
        <v>76</v>
      </c>
      <c r="O20" s="21" t="s">
        <v>77</v>
      </c>
      <c r="P20" s="26"/>
      <c r="Q20" s="30"/>
      <c r="R20" s="27"/>
    </row>
    <row r="21" ht="14.25" customHeight="1">
      <c r="A21" s="13">
        <v>20.0</v>
      </c>
      <c r="B21" s="26"/>
      <c r="C21" s="16" t="s">
        <v>278</v>
      </c>
      <c r="D21" s="13" t="s">
        <v>279</v>
      </c>
      <c r="E21" s="18" t="s">
        <v>280</v>
      </c>
      <c r="F21" s="12" t="s">
        <v>281</v>
      </c>
      <c r="G21" s="12" t="s">
        <v>104</v>
      </c>
      <c r="H21" s="19" t="s">
        <v>282</v>
      </c>
      <c r="I21" s="12" t="s">
        <v>247</v>
      </c>
      <c r="J21" s="12" t="s">
        <v>283</v>
      </c>
      <c r="K21" s="13" t="s">
        <v>64</v>
      </c>
      <c r="L21" s="21" t="s">
        <v>71</v>
      </c>
      <c r="M21" s="21" t="s">
        <v>75</v>
      </c>
      <c r="N21" s="21" t="s">
        <v>76</v>
      </c>
      <c r="O21" s="21" t="s">
        <v>77</v>
      </c>
      <c r="P21" s="26"/>
      <c r="Q21" s="30"/>
      <c r="R21" s="27"/>
    </row>
    <row r="22" ht="14.25" customHeight="1">
      <c r="A22" s="13">
        <v>21.0</v>
      </c>
      <c r="B22" s="26"/>
      <c r="C22" s="16" t="s">
        <v>284</v>
      </c>
      <c r="D22" s="13" t="s">
        <v>285</v>
      </c>
      <c r="E22" s="18" t="s">
        <v>286</v>
      </c>
      <c r="F22" s="12" t="s">
        <v>287</v>
      </c>
      <c r="G22" s="12" t="s">
        <v>104</v>
      </c>
      <c r="H22" s="19" t="s">
        <v>288</v>
      </c>
      <c r="I22" s="12" t="s">
        <v>247</v>
      </c>
      <c r="J22" s="12" t="s">
        <v>289</v>
      </c>
      <c r="K22" s="13" t="s">
        <v>64</v>
      </c>
      <c r="L22" s="21" t="s">
        <v>71</v>
      </c>
      <c r="M22" s="21" t="s">
        <v>75</v>
      </c>
      <c r="N22" s="21" t="s">
        <v>76</v>
      </c>
      <c r="O22" s="21" t="s">
        <v>77</v>
      </c>
      <c r="P22" s="26"/>
      <c r="Q22" s="30"/>
      <c r="R22" s="27"/>
    </row>
    <row r="23" ht="14.25" customHeight="1">
      <c r="A23" s="13">
        <v>22.0</v>
      </c>
      <c r="B23" s="26"/>
      <c r="C23" s="16" t="s">
        <v>290</v>
      </c>
      <c r="D23" s="13" t="s">
        <v>291</v>
      </c>
      <c r="E23" s="18" t="s">
        <v>292</v>
      </c>
      <c r="F23" s="12" t="s">
        <v>293</v>
      </c>
      <c r="G23" s="12" t="s">
        <v>104</v>
      </c>
      <c r="H23" s="19" t="s">
        <v>294</v>
      </c>
      <c r="I23" s="12" t="s">
        <v>247</v>
      </c>
      <c r="J23" s="12" t="s">
        <v>283</v>
      </c>
      <c r="K23" s="13" t="s">
        <v>112</v>
      </c>
      <c r="L23" s="21" t="s">
        <v>71</v>
      </c>
      <c r="M23" s="21" t="s">
        <v>75</v>
      </c>
      <c r="N23" s="21" t="s">
        <v>76</v>
      </c>
      <c r="O23" s="21" t="s">
        <v>77</v>
      </c>
      <c r="P23" s="26"/>
      <c r="Q23" s="30"/>
      <c r="R23" s="27"/>
    </row>
    <row r="24" ht="14.25" customHeight="1">
      <c r="A24" s="13">
        <v>23.0</v>
      </c>
      <c r="B24" s="26"/>
      <c r="C24" s="16" t="s">
        <v>295</v>
      </c>
      <c r="D24" s="13" t="s">
        <v>296</v>
      </c>
      <c r="E24" s="18" t="s">
        <v>297</v>
      </c>
      <c r="F24" s="12" t="s">
        <v>298</v>
      </c>
      <c r="G24" s="12" t="s">
        <v>104</v>
      </c>
      <c r="H24" s="19" t="s">
        <v>299</v>
      </c>
      <c r="I24" s="12" t="s">
        <v>247</v>
      </c>
      <c r="J24" s="12" t="s">
        <v>300</v>
      </c>
      <c r="K24" s="13" t="s">
        <v>112</v>
      </c>
      <c r="L24" s="21" t="s">
        <v>71</v>
      </c>
      <c r="M24" s="21" t="s">
        <v>75</v>
      </c>
      <c r="N24" s="21" t="s">
        <v>76</v>
      </c>
      <c r="O24" s="21" t="s">
        <v>77</v>
      </c>
      <c r="P24" s="26"/>
      <c r="Q24" s="30"/>
      <c r="R24" s="27"/>
    </row>
    <row r="25" ht="14.25" customHeight="1">
      <c r="A25" s="13">
        <v>24.0</v>
      </c>
      <c r="B25" s="26"/>
      <c r="C25" s="16" t="s">
        <v>301</v>
      </c>
      <c r="D25" s="13" t="s">
        <v>302</v>
      </c>
      <c r="E25" s="18" t="s">
        <v>303</v>
      </c>
      <c r="F25" s="12" t="s">
        <v>304</v>
      </c>
      <c r="G25" s="12" t="s">
        <v>104</v>
      </c>
      <c r="H25" s="19" t="s">
        <v>305</v>
      </c>
      <c r="I25" s="12" t="s">
        <v>247</v>
      </c>
      <c r="J25" s="12" t="s">
        <v>283</v>
      </c>
      <c r="K25" s="13" t="s">
        <v>112</v>
      </c>
      <c r="L25" s="21" t="s">
        <v>71</v>
      </c>
      <c r="M25" s="21" t="s">
        <v>75</v>
      </c>
      <c r="N25" s="21" t="s">
        <v>76</v>
      </c>
      <c r="O25" s="21" t="s">
        <v>77</v>
      </c>
      <c r="P25" s="26"/>
      <c r="Q25" s="30"/>
      <c r="R25" s="27"/>
    </row>
    <row r="26" ht="14.25" customHeight="1">
      <c r="A26" s="13">
        <v>25.0</v>
      </c>
      <c r="B26" s="26"/>
      <c r="C26" s="16" t="s">
        <v>306</v>
      </c>
      <c r="D26" s="13" t="s">
        <v>307</v>
      </c>
      <c r="E26" s="18" t="s">
        <v>308</v>
      </c>
      <c r="F26" s="12" t="s">
        <v>309</v>
      </c>
      <c r="G26" s="12" t="s">
        <v>104</v>
      </c>
      <c r="H26" s="19" t="s">
        <v>310</v>
      </c>
      <c r="I26" s="12" t="s">
        <v>247</v>
      </c>
      <c r="J26" s="12" t="s">
        <v>289</v>
      </c>
      <c r="K26" s="13" t="s">
        <v>112</v>
      </c>
      <c r="L26" s="21" t="s">
        <v>71</v>
      </c>
      <c r="M26" s="21" t="s">
        <v>75</v>
      </c>
      <c r="N26" s="21" t="s">
        <v>76</v>
      </c>
      <c r="O26" s="21" t="s">
        <v>77</v>
      </c>
      <c r="P26" s="28"/>
      <c r="Q26" s="30"/>
      <c r="R26" s="27"/>
    </row>
    <row r="27" ht="14.25" customHeight="1">
      <c r="A27" s="13">
        <v>26.0</v>
      </c>
      <c r="B27" s="26"/>
      <c r="C27" s="16" t="s">
        <v>311</v>
      </c>
      <c r="D27" s="13" t="s">
        <v>312</v>
      </c>
      <c r="E27" s="18" t="s">
        <v>313</v>
      </c>
      <c r="F27" s="12" t="s">
        <v>314</v>
      </c>
      <c r="G27" s="12" t="s">
        <v>104</v>
      </c>
      <c r="H27" s="19" t="s">
        <v>315</v>
      </c>
      <c r="I27" s="12" t="s">
        <v>247</v>
      </c>
      <c r="J27" s="12" t="s">
        <v>316</v>
      </c>
      <c r="K27" s="13" t="s">
        <v>64</v>
      </c>
      <c r="L27" s="38" t="s">
        <v>71</v>
      </c>
      <c r="M27" s="21" t="s">
        <v>75</v>
      </c>
      <c r="N27" s="38" t="s">
        <v>76</v>
      </c>
      <c r="O27" s="38" t="s">
        <v>77</v>
      </c>
      <c r="P27" s="23" t="s">
        <v>317</v>
      </c>
      <c r="Q27" s="30"/>
      <c r="R27" s="27"/>
    </row>
    <row r="28" ht="14.25" customHeight="1">
      <c r="A28" s="13">
        <v>27.0</v>
      </c>
      <c r="B28" s="26"/>
      <c r="C28" s="16" t="s">
        <v>318</v>
      </c>
      <c r="D28" s="13" t="s">
        <v>319</v>
      </c>
      <c r="E28" s="18" t="s">
        <v>320</v>
      </c>
      <c r="F28" s="12" t="s">
        <v>321</v>
      </c>
      <c r="G28" s="12" t="s">
        <v>104</v>
      </c>
      <c r="H28" s="19" t="s">
        <v>322</v>
      </c>
      <c r="I28" s="12" t="s">
        <v>247</v>
      </c>
      <c r="J28" s="12" t="s">
        <v>323</v>
      </c>
      <c r="K28" s="13" t="s">
        <v>64</v>
      </c>
      <c r="L28" s="38" t="s">
        <v>71</v>
      </c>
      <c r="M28" s="21" t="s">
        <v>75</v>
      </c>
      <c r="N28" s="38" t="s">
        <v>76</v>
      </c>
      <c r="O28" s="38" t="s">
        <v>77</v>
      </c>
      <c r="P28" s="26"/>
      <c r="Q28" s="30"/>
      <c r="R28" s="27"/>
    </row>
    <row r="29" ht="14.25" customHeight="1">
      <c r="A29" s="13">
        <v>28.0</v>
      </c>
      <c r="B29" s="26"/>
      <c r="C29" s="16" t="s">
        <v>324</v>
      </c>
      <c r="D29" s="13" t="s">
        <v>325</v>
      </c>
      <c r="E29" s="18" t="s">
        <v>326</v>
      </c>
      <c r="F29" s="12" t="s">
        <v>327</v>
      </c>
      <c r="G29" s="12" t="s">
        <v>104</v>
      </c>
      <c r="H29" s="19" t="s">
        <v>328</v>
      </c>
      <c r="I29" s="12" t="s">
        <v>247</v>
      </c>
      <c r="J29" s="12" t="s">
        <v>329</v>
      </c>
      <c r="K29" s="13" t="s">
        <v>64</v>
      </c>
      <c r="L29" s="38" t="s">
        <v>71</v>
      </c>
      <c r="M29" s="21" t="s">
        <v>75</v>
      </c>
      <c r="N29" s="38" t="s">
        <v>76</v>
      </c>
      <c r="O29" s="38" t="s">
        <v>77</v>
      </c>
      <c r="P29" s="26"/>
      <c r="Q29" s="30"/>
      <c r="R29" s="27"/>
    </row>
    <row r="30" ht="14.25" customHeight="1">
      <c r="A30" s="13">
        <v>29.0</v>
      </c>
      <c r="B30" s="26"/>
      <c r="C30" s="16" t="s">
        <v>330</v>
      </c>
      <c r="D30" s="13" t="s">
        <v>331</v>
      </c>
      <c r="E30" s="18" t="s">
        <v>332</v>
      </c>
      <c r="F30" s="12" t="s">
        <v>333</v>
      </c>
      <c r="G30" s="12" t="s">
        <v>104</v>
      </c>
      <c r="H30" s="19" t="s">
        <v>334</v>
      </c>
      <c r="I30" s="12" t="s">
        <v>247</v>
      </c>
      <c r="J30" s="12" t="s">
        <v>335</v>
      </c>
      <c r="K30" s="13" t="s">
        <v>64</v>
      </c>
      <c r="L30" s="38" t="s">
        <v>71</v>
      </c>
      <c r="M30" s="21" t="s">
        <v>75</v>
      </c>
      <c r="N30" s="38" t="s">
        <v>76</v>
      </c>
      <c r="O30" s="38" t="s">
        <v>77</v>
      </c>
      <c r="P30" s="26"/>
      <c r="Q30" s="30"/>
      <c r="R30" s="27"/>
    </row>
    <row r="31" ht="14.25" customHeight="1">
      <c r="A31" s="13">
        <v>30.0</v>
      </c>
      <c r="B31" s="26"/>
      <c r="C31" s="16" t="s">
        <v>336</v>
      </c>
      <c r="D31" s="13" t="s">
        <v>337</v>
      </c>
      <c r="E31" s="18" t="s">
        <v>338</v>
      </c>
      <c r="F31" s="12" t="s">
        <v>339</v>
      </c>
      <c r="G31" s="12" t="s">
        <v>104</v>
      </c>
      <c r="H31" s="19" t="s">
        <v>340</v>
      </c>
      <c r="I31" s="12" t="s">
        <v>247</v>
      </c>
      <c r="J31" s="12" t="s">
        <v>341</v>
      </c>
      <c r="K31" s="13" t="s">
        <v>64</v>
      </c>
      <c r="L31" s="38" t="s">
        <v>71</v>
      </c>
      <c r="M31" s="21" t="s">
        <v>75</v>
      </c>
      <c r="N31" s="38" t="s">
        <v>76</v>
      </c>
      <c r="O31" s="38" t="s">
        <v>77</v>
      </c>
      <c r="P31" s="26"/>
      <c r="Q31" s="30"/>
      <c r="R31" s="27"/>
    </row>
    <row r="32" ht="14.25" customHeight="1">
      <c r="A32" s="13">
        <v>31.0</v>
      </c>
      <c r="B32" s="26"/>
      <c r="C32" s="16" t="s">
        <v>342</v>
      </c>
      <c r="D32" s="13" t="s">
        <v>343</v>
      </c>
      <c r="E32" s="18" t="s">
        <v>344</v>
      </c>
      <c r="F32" s="12" t="s">
        <v>345</v>
      </c>
      <c r="G32" s="12" t="s">
        <v>104</v>
      </c>
      <c r="H32" s="19" t="s">
        <v>346</v>
      </c>
      <c r="I32" s="12" t="s">
        <v>247</v>
      </c>
      <c r="J32" s="12" t="s">
        <v>347</v>
      </c>
      <c r="K32" s="13" t="s">
        <v>64</v>
      </c>
      <c r="L32" s="38" t="s">
        <v>168</v>
      </c>
      <c r="M32" s="38" t="s">
        <v>169</v>
      </c>
      <c r="N32" s="38" t="s">
        <v>170</v>
      </c>
      <c r="O32" s="38" t="s">
        <v>77</v>
      </c>
      <c r="P32" s="26"/>
      <c r="Q32" s="30"/>
      <c r="R32" s="27"/>
    </row>
    <row r="33" ht="14.25" customHeight="1">
      <c r="A33" s="13">
        <v>32.0</v>
      </c>
      <c r="B33" s="26"/>
      <c r="C33" s="16" t="s">
        <v>348</v>
      </c>
      <c r="D33" s="13" t="s">
        <v>349</v>
      </c>
      <c r="E33" s="18" t="s">
        <v>350</v>
      </c>
      <c r="F33" s="12" t="s">
        <v>351</v>
      </c>
      <c r="G33" s="12" t="s">
        <v>104</v>
      </c>
      <c r="H33" s="19" t="s">
        <v>352</v>
      </c>
      <c r="I33" s="12" t="s">
        <v>247</v>
      </c>
      <c r="J33" s="12" t="s">
        <v>353</v>
      </c>
      <c r="K33" s="13" t="s">
        <v>64</v>
      </c>
      <c r="L33" s="38" t="s">
        <v>168</v>
      </c>
      <c r="M33" s="38" t="s">
        <v>169</v>
      </c>
      <c r="N33" s="38" t="s">
        <v>170</v>
      </c>
      <c r="O33" s="38" t="s">
        <v>77</v>
      </c>
      <c r="P33" s="26"/>
      <c r="Q33" s="30"/>
      <c r="R33" s="27"/>
    </row>
    <row r="34" ht="14.25" customHeight="1">
      <c r="A34" s="13">
        <v>33.0</v>
      </c>
      <c r="B34" s="26"/>
      <c r="C34" s="16" t="s">
        <v>354</v>
      </c>
      <c r="D34" s="13" t="s">
        <v>355</v>
      </c>
      <c r="E34" s="18" t="s">
        <v>356</v>
      </c>
      <c r="F34" s="12" t="s">
        <v>357</v>
      </c>
      <c r="G34" s="12" t="s">
        <v>104</v>
      </c>
      <c r="H34" s="19" t="s">
        <v>358</v>
      </c>
      <c r="I34" s="12" t="s">
        <v>247</v>
      </c>
      <c r="J34" s="12" t="s">
        <v>359</v>
      </c>
      <c r="K34" s="13" t="s">
        <v>64</v>
      </c>
      <c r="L34" s="38" t="s">
        <v>168</v>
      </c>
      <c r="M34" s="38" t="s">
        <v>169</v>
      </c>
      <c r="N34" s="38" t="s">
        <v>170</v>
      </c>
      <c r="O34" s="38" t="s">
        <v>77</v>
      </c>
      <c r="P34" s="26"/>
      <c r="Q34" s="30"/>
      <c r="R34" s="27"/>
    </row>
    <row r="35" ht="14.25" customHeight="1">
      <c r="A35" s="13">
        <v>34.0</v>
      </c>
      <c r="B35" s="26"/>
      <c r="C35" s="16" t="s">
        <v>360</v>
      </c>
      <c r="D35" s="13" t="s">
        <v>361</v>
      </c>
      <c r="E35" s="18" t="s">
        <v>362</v>
      </c>
      <c r="F35" s="12" t="s">
        <v>363</v>
      </c>
      <c r="G35" s="12" t="s">
        <v>104</v>
      </c>
      <c r="H35" s="19" t="s">
        <v>364</v>
      </c>
      <c r="I35" s="12" t="s">
        <v>247</v>
      </c>
      <c r="J35" s="12" t="s">
        <v>365</v>
      </c>
      <c r="K35" s="13" t="s">
        <v>64</v>
      </c>
      <c r="L35" s="38" t="s">
        <v>199</v>
      </c>
      <c r="M35" s="38" t="s">
        <v>200</v>
      </c>
      <c r="N35" s="38" t="s">
        <v>201</v>
      </c>
      <c r="O35" s="38" t="s">
        <v>202</v>
      </c>
      <c r="P35" s="26"/>
      <c r="Q35" s="30"/>
      <c r="R35" s="34"/>
    </row>
    <row r="36" ht="14.25" customHeight="1">
      <c r="A36" s="13">
        <v>35.0</v>
      </c>
      <c r="B36" s="26"/>
      <c r="C36" s="16" t="s">
        <v>366</v>
      </c>
      <c r="D36" s="13" t="s">
        <v>367</v>
      </c>
      <c r="E36" s="18" t="s">
        <v>368</v>
      </c>
      <c r="F36" s="12" t="s">
        <v>369</v>
      </c>
      <c r="G36" s="12" t="s">
        <v>104</v>
      </c>
      <c r="H36" s="19" t="s">
        <v>370</v>
      </c>
      <c r="I36" s="12" t="s">
        <v>247</v>
      </c>
      <c r="J36" s="12" t="s">
        <v>371</v>
      </c>
      <c r="K36" s="13" t="s">
        <v>64</v>
      </c>
      <c r="L36" s="38" t="s">
        <v>199</v>
      </c>
      <c r="M36" s="38" t="s">
        <v>200</v>
      </c>
      <c r="N36" s="38" t="s">
        <v>201</v>
      </c>
      <c r="O36" s="38" t="s">
        <v>202</v>
      </c>
      <c r="P36" s="26"/>
      <c r="Q36" s="30"/>
      <c r="R36" s="34"/>
    </row>
    <row r="37" ht="14.25" customHeight="1">
      <c r="A37" s="13">
        <v>36.0</v>
      </c>
      <c r="B37" s="26"/>
      <c r="C37" s="16" t="s">
        <v>372</v>
      </c>
      <c r="D37" s="13" t="s">
        <v>373</v>
      </c>
      <c r="E37" s="18" t="s">
        <v>374</v>
      </c>
      <c r="F37" s="12" t="s">
        <v>375</v>
      </c>
      <c r="G37" s="12" t="s">
        <v>104</v>
      </c>
      <c r="H37" s="19" t="s">
        <v>376</v>
      </c>
      <c r="I37" s="12" t="s">
        <v>247</v>
      </c>
      <c r="J37" s="12" t="s">
        <v>365</v>
      </c>
      <c r="K37" s="13" t="s">
        <v>112</v>
      </c>
      <c r="L37" s="38" t="s">
        <v>199</v>
      </c>
      <c r="M37" s="38" t="s">
        <v>200</v>
      </c>
      <c r="N37" s="38" t="s">
        <v>201</v>
      </c>
      <c r="O37" s="38" t="s">
        <v>202</v>
      </c>
      <c r="P37" s="26"/>
      <c r="Q37" s="30"/>
      <c r="R37" s="34"/>
    </row>
    <row r="38" ht="14.25" customHeight="1">
      <c r="A38" s="13">
        <v>37.0</v>
      </c>
      <c r="B38" s="26"/>
      <c r="C38" s="16" t="s">
        <v>377</v>
      </c>
      <c r="D38" s="13" t="s">
        <v>378</v>
      </c>
      <c r="E38" s="18" t="s">
        <v>379</v>
      </c>
      <c r="F38" s="12" t="s">
        <v>380</v>
      </c>
      <c r="G38" s="12" t="s">
        <v>104</v>
      </c>
      <c r="H38" s="19" t="s">
        <v>381</v>
      </c>
      <c r="I38" s="12" t="s">
        <v>247</v>
      </c>
      <c r="J38" s="12" t="s">
        <v>371</v>
      </c>
      <c r="K38" s="13" t="s">
        <v>64</v>
      </c>
      <c r="L38" s="38" t="s">
        <v>199</v>
      </c>
      <c r="M38" s="38" t="s">
        <v>200</v>
      </c>
      <c r="N38" s="38" t="s">
        <v>201</v>
      </c>
      <c r="O38" s="38" t="s">
        <v>202</v>
      </c>
      <c r="P38" s="26"/>
      <c r="Q38" s="30"/>
      <c r="R38" s="34"/>
    </row>
    <row r="39" ht="14.25" customHeight="1">
      <c r="A39" s="13">
        <v>38.0</v>
      </c>
      <c r="B39" s="26"/>
      <c r="C39" s="16" t="s">
        <v>382</v>
      </c>
      <c r="D39" s="13" t="s">
        <v>383</v>
      </c>
      <c r="E39" s="18" t="s">
        <v>384</v>
      </c>
      <c r="F39" s="12" t="s">
        <v>385</v>
      </c>
      <c r="G39" s="12" t="s">
        <v>386</v>
      </c>
      <c r="H39" s="19" t="s">
        <v>387</v>
      </c>
      <c r="I39" s="12" t="s">
        <v>388</v>
      </c>
      <c r="J39" s="12" t="s">
        <v>323</v>
      </c>
      <c r="K39" s="13" t="s">
        <v>64</v>
      </c>
      <c r="L39" s="39" t="s">
        <v>71</v>
      </c>
      <c r="M39" s="39" t="s">
        <v>75</v>
      </c>
      <c r="N39" s="39" t="s">
        <v>76</v>
      </c>
      <c r="O39" s="39" t="s">
        <v>77</v>
      </c>
      <c r="P39" s="40" t="s">
        <v>389</v>
      </c>
      <c r="Q39" s="30"/>
      <c r="R39" s="27"/>
    </row>
    <row r="40" ht="14.25" customHeight="1">
      <c r="A40" s="13">
        <v>39.0</v>
      </c>
      <c r="B40" s="26"/>
      <c r="C40" s="16" t="s">
        <v>390</v>
      </c>
      <c r="D40" s="13" t="s">
        <v>391</v>
      </c>
      <c r="E40" s="18" t="s">
        <v>392</v>
      </c>
      <c r="F40" s="12" t="s">
        <v>393</v>
      </c>
      <c r="G40" s="12" t="s">
        <v>386</v>
      </c>
      <c r="H40" s="19" t="s">
        <v>394</v>
      </c>
      <c r="I40" s="12" t="s">
        <v>217</v>
      </c>
      <c r="J40" s="12" t="s">
        <v>395</v>
      </c>
      <c r="K40" s="13" t="s">
        <v>64</v>
      </c>
      <c r="L40" s="39" t="s">
        <v>71</v>
      </c>
      <c r="M40" s="39" t="s">
        <v>75</v>
      </c>
      <c r="N40" s="39" t="s">
        <v>76</v>
      </c>
      <c r="O40" s="39" t="s">
        <v>77</v>
      </c>
      <c r="P40" s="26"/>
      <c r="Q40" s="30"/>
      <c r="R40" s="27"/>
    </row>
    <row r="41" ht="14.25" customHeight="1">
      <c r="A41" s="13">
        <v>40.0</v>
      </c>
      <c r="B41" s="26"/>
      <c r="C41" s="16" t="s">
        <v>397</v>
      </c>
      <c r="D41" s="13" t="s">
        <v>398</v>
      </c>
      <c r="E41" s="18" t="s">
        <v>399</v>
      </c>
      <c r="F41" s="12" t="s">
        <v>400</v>
      </c>
      <c r="G41" s="12" t="s">
        <v>386</v>
      </c>
      <c r="H41" s="19" t="s">
        <v>402</v>
      </c>
      <c r="I41" s="12" t="s">
        <v>403</v>
      </c>
      <c r="J41" s="12" t="s">
        <v>404</v>
      </c>
      <c r="K41" s="13" t="s">
        <v>64</v>
      </c>
      <c r="L41" s="39" t="s">
        <v>71</v>
      </c>
      <c r="M41" s="39" t="s">
        <v>75</v>
      </c>
      <c r="N41" s="39" t="s">
        <v>76</v>
      </c>
      <c r="O41" s="39" t="s">
        <v>77</v>
      </c>
      <c r="P41" s="26"/>
      <c r="Q41" s="30"/>
      <c r="R41" s="27"/>
    </row>
    <row r="42" ht="14.25" customHeight="1">
      <c r="A42" s="13">
        <v>41.0</v>
      </c>
      <c r="B42" s="26"/>
      <c r="C42" s="16" t="s">
        <v>406</v>
      </c>
      <c r="D42" s="13" t="s">
        <v>407</v>
      </c>
      <c r="E42" s="18" t="s">
        <v>408</v>
      </c>
      <c r="F42" s="12" t="s">
        <v>409</v>
      </c>
      <c r="G42" s="12" t="s">
        <v>386</v>
      </c>
      <c r="H42" s="19" t="s">
        <v>410</v>
      </c>
      <c r="I42" s="12" t="s">
        <v>411</v>
      </c>
      <c r="J42" s="12" t="s">
        <v>404</v>
      </c>
      <c r="K42" s="13" t="s">
        <v>64</v>
      </c>
      <c r="L42" s="39" t="s">
        <v>71</v>
      </c>
      <c r="M42" s="39" t="s">
        <v>75</v>
      </c>
      <c r="N42" s="39" t="s">
        <v>76</v>
      </c>
      <c r="O42" s="39" t="s">
        <v>77</v>
      </c>
      <c r="P42" s="26"/>
      <c r="Q42" s="30"/>
      <c r="R42" s="27"/>
    </row>
    <row r="43" ht="14.25" customHeight="1">
      <c r="A43" s="13">
        <v>42.0</v>
      </c>
      <c r="B43" s="28"/>
      <c r="C43" s="16" t="s">
        <v>413</v>
      </c>
      <c r="D43" s="13" t="s">
        <v>414</v>
      </c>
      <c r="E43" s="18" t="s">
        <v>416</v>
      </c>
      <c r="F43" s="12" t="s">
        <v>417</v>
      </c>
      <c r="G43" s="12" t="s">
        <v>386</v>
      </c>
      <c r="H43" s="19" t="s">
        <v>418</v>
      </c>
      <c r="I43" s="12" t="s">
        <v>419</v>
      </c>
      <c r="J43" s="12" t="s">
        <v>420</v>
      </c>
      <c r="K43" s="13" t="s">
        <v>112</v>
      </c>
      <c r="L43" s="39" t="s">
        <v>71</v>
      </c>
      <c r="M43" s="39" t="s">
        <v>75</v>
      </c>
      <c r="N43" s="39" t="s">
        <v>76</v>
      </c>
      <c r="O43" s="39" t="s">
        <v>77</v>
      </c>
      <c r="P43" s="28"/>
      <c r="Q43" s="30"/>
      <c r="R43" s="27"/>
    </row>
    <row r="44" ht="14.25" customHeight="1">
      <c r="A44" s="13">
        <v>43.0</v>
      </c>
      <c r="B44" s="15" t="s">
        <v>93</v>
      </c>
      <c r="C44" s="16" t="s">
        <v>423</v>
      </c>
      <c r="D44" s="13" t="s">
        <v>424</v>
      </c>
      <c r="E44" s="18" t="s">
        <v>425</v>
      </c>
      <c r="F44" s="12" t="s">
        <v>426</v>
      </c>
      <c r="G44" s="12" t="s">
        <v>104</v>
      </c>
      <c r="H44" s="19" t="s">
        <v>428</v>
      </c>
      <c r="I44" s="12" t="s">
        <v>252</v>
      </c>
      <c r="J44" s="12" t="s">
        <v>429</v>
      </c>
      <c r="K44" s="13" t="s">
        <v>64</v>
      </c>
      <c r="L44" s="39" t="s">
        <v>168</v>
      </c>
      <c r="M44" s="39" t="s">
        <v>169</v>
      </c>
      <c r="N44" s="39" t="s">
        <v>170</v>
      </c>
      <c r="O44" s="39" t="s">
        <v>77</v>
      </c>
      <c r="P44" s="40" t="s">
        <v>389</v>
      </c>
      <c r="Q44" s="30"/>
      <c r="R44" s="27"/>
    </row>
    <row r="45" ht="14.25" customHeight="1">
      <c r="A45" s="13">
        <v>44.0</v>
      </c>
      <c r="B45" s="26"/>
      <c r="C45" s="16" t="s">
        <v>430</v>
      </c>
      <c r="D45" s="13" t="s">
        <v>431</v>
      </c>
      <c r="E45" s="18" t="s">
        <v>432</v>
      </c>
      <c r="F45" s="12" t="s">
        <v>433</v>
      </c>
      <c r="G45" s="12" t="s">
        <v>104</v>
      </c>
      <c r="H45" s="19" t="s">
        <v>434</v>
      </c>
      <c r="I45" s="12" t="s">
        <v>252</v>
      </c>
      <c r="J45" s="12" t="s">
        <v>435</v>
      </c>
      <c r="K45" s="13" t="s">
        <v>64</v>
      </c>
      <c r="L45" s="39" t="s">
        <v>168</v>
      </c>
      <c r="M45" s="39" t="s">
        <v>169</v>
      </c>
      <c r="N45" s="39" t="s">
        <v>170</v>
      </c>
      <c r="O45" s="39" t="s">
        <v>77</v>
      </c>
      <c r="P45" s="26"/>
      <c r="Q45" s="30"/>
      <c r="R45" s="27"/>
    </row>
    <row r="46" ht="14.25" customHeight="1">
      <c r="A46" s="13">
        <v>45.0</v>
      </c>
      <c r="B46" s="28"/>
      <c r="C46" s="16" t="s">
        <v>436</v>
      </c>
      <c r="D46" s="13" t="s">
        <v>437</v>
      </c>
      <c r="E46" s="18" t="s">
        <v>438</v>
      </c>
      <c r="F46" s="12" t="s">
        <v>439</v>
      </c>
      <c r="G46" s="12" t="s">
        <v>104</v>
      </c>
      <c r="H46" s="19" t="s">
        <v>440</v>
      </c>
      <c r="I46" s="12" t="s">
        <v>252</v>
      </c>
      <c r="J46" s="12" t="s">
        <v>441</v>
      </c>
      <c r="K46" s="13" t="s">
        <v>112</v>
      </c>
      <c r="L46" s="39" t="s">
        <v>168</v>
      </c>
      <c r="M46" s="39" t="s">
        <v>169</v>
      </c>
      <c r="N46" s="39" t="s">
        <v>170</v>
      </c>
      <c r="O46" s="39" t="s">
        <v>77</v>
      </c>
      <c r="P46" s="28"/>
      <c r="Q46" s="30"/>
      <c r="R46" s="27"/>
    </row>
    <row r="47" ht="14.25" customHeight="1">
      <c r="A47" s="13">
        <v>46.0</v>
      </c>
      <c r="B47" s="15" t="s">
        <v>107</v>
      </c>
      <c r="C47" s="16" t="s">
        <v>444</v>
      </c>
      <c r="D47" s="13" t="s">
        <v>445</v>
      </c>
      <c r="E47" s="18" t="s">
        <v>446</v>
      </c>
      <c r="F47" s="12" t="s">
        <v>447</v>
      </c>
      <c r="G47" s="12" t="s">
        <v>28</v>
      </c>
      <c r="H47" s="19" t="s">
        <v>448</v>
      </c>
      <c r="I47" s="12" t="s">
        <v>230</v>
      </c>
      <c r="J47" s="12" t="s">
        <v>449</v>
      </c>
      <c r="K47" s="13" t="s">
        <v>64</v>
      </c>
      <c r="L47" s="39" t="s">
        <v>71</v>
      </c>
      <c r="M47" s="39" t="s">
        <v>75</v>
      </c>
      <c r="N47" s="39" t="s">
        <v>76</v>
      </c>
      <c r="O47" s="39" t="s">
        <v>77</v>
      </c>
      <c r="P47" s="40" t="s">
        <v>271</v>
      </c>
      <c r="Q47" s="30"/>
      <c r="R47" s="27"/>
    </row>
    <row r="48" ht="14.25" customHeight="1">
      <c r="A48" s="13">
        <v>47.0</v>
      </c>
      <c r="B48" s="26"/>
      <c r="C48" s="16" t="s">
        <v>452</v>
      </c>
      <c r="D48" s="13" t="s">
        <v>453</v>
      </c>
      <c r="E48" s="18" t="s">
        <v>455</v>
      </c>
      <c r="F48" s="12" t="s">
        <v>456</v>
      </c>
      <c r="G48" s="12" t="s">
        <v>28</v>
      </c>
      <c r="H48" s="19" t="s">
        <v>457</v>
      </c>
      <c r="I48" s="12" t="s">
        <v>217</v>
      </c>
      <c r="J48" s="12" t="s">
        <v>458</v>
      </c>
      <c r="K48" s="13" t="s">
        <v>64</v>
      </c>
      <c r="L48" s="39" t="s">
        <v>71</v>
      </c>
      <c r="M48" s="39" t="s">
        <v>75</v>
      </c>
      <c r="N48" s="39" t="s">
        <v>76</v>
      </c>
      <c r="O48" s="39" t="s">
        <v>77</v>
      </c>
      <c r="P48" s="26"/>
      <c r="Q48" s="30"/>
      <c r="R48" s="27"/>
    </row>
    <row r="49" ht="14.25" customHeight="1">
      <c r="A49" s="13">
        <v>48.0</v>
      </c>
      <c r="B49" s="26"/>
      <c r="C49" s="16" t="s">
        <v>460</v>
      </c>
      <c r="D49" s="13" t="s">
        <v>461</v>
      </c>
      <c r="E49" s="18" t="s">
        <v>463</v>
      </c>
      <c r="F49" s="12" t="s">
        <v>464</v>
      </c>
      <c r="G49" s="12" t="s">
        <v>28</v>
      </c>
      <c r="H49" s="19" t="s">
        <v>465</v>
      </c>
      <c r="I49" s="12" t="s">
        <v>230</v>
      </c>
      <c r="J49" s="12" t="s">
        <v>466</v>
      </c>
      <c r="K49" s="13" t="s">
        <v>64</v>
      </c>
      <c r="L49" s="39" t="s">
        <v>71</v>
      </c>
      <c r="M49" s="39" t="s">
        <v>75</v>
      </c>
      <c r="N49" s="39" t="s">
        <v>76</v>
      </c>
      <c r="O49" s="39" t="s">
        <v>77</v>
      </c>
      <c r="P49" s="26"/>
      <c r="Q49" s="30"/>
      <c r="R49" s="27"/>
    </row>
    <row r="50" ht="14.25" customHeight="1">
      <c r="A50" s="13">
        <v>49.0</v>
      </c>
      <c r="B50" s="26"/>
      <c r="C50" s="16" t="s">
        <v>468</v>
      </c>
      <c r="D50" s="13" t="s">
        <v>469</v>
      </c>
      <c r="E50" s="18" t="s">
        <v>470</v>
      </c>
      <c r="F50" s="12" t="s">
        <v>471</v>
      </c>
      <c r="G50" s="12" t="s">
        <v>28</v>
      </c>
      <c r="H50" s="19" t="s">
        <v>472</v>
      </c>
      <c r="I50" s="12" t="s">
        <v>230</v>
      </c>
      <c r="J50" s="12" t="s">
        <v>473</v>
      </c>
      <c r="K50" s="13" t="s">
        <v>64</v>
      </c>
      <c r="L50" s="39" t="s">
        <v>71</v>
      </c>
      <c r="M50" s="39" t="s">
        <v>75</v>
      </c>
      <c r="N50" s="39" t="s">
        <v>76</v>
      </c>
      <c r="O50" s="39" t="s">
        <v>77</v>
      </c>
      <c r="P50" s="26"/>
      <c r="Q50" s="30"/>
      <c r="R50" s="27"/>
    </row>
    <row r="51" ht="14.25" customHeight="1">
      <c r="A51" s="13">
        <v>50.0</v>
      </c>
      <c r="B51" s="28"/>
      <c r="C51" s="16" t="s">
        <v>475</v>
      </c>
      <c r="D51" s="13" t="s">
        <v>476</v>
      </c>
      <c r="E51" s="18" t="s">
        <v>478</v>
      </c>
      <c r="F51" s="12" t="s">
        <v>479</v>
      </c>
      <c r="G51" s="12" t="s">
        <v>28</v>
      </c>
      <c r="H51" s="19" t="s">
        <v>480</v>
      </c>
      <c r="I51" s="12" t="s">
        <v>230</v>
      </c>
      <c r="J51" s="12" t="s">
        <v>473</v>
      </c>
      <c r="K51" s="13" t="s">
        <v>64</v>
      </c>
      <c r="L51" s="39" t="s">
        <v>71</v>
      </c>
      <c r="M51" s="39" t="s">
        <v>75</v>
      </c>
      <c r="N51" s="39" t="s">
        <v>76</v>
      </c>
      <c r="O51" s="39" t="s">
        <v>77</v>
      </c>
      <c r="P51" s="28"/>
      <c r="Q51" s="30"/>
      <c r="R51" s="27"/>
    </row>
    <row r="52" ht="14.25" customHeight="1">
      <c r="A52" s="13">
        <v>51.0</v>
      </c>
      <c r="B52" s="15" t="s">
        <v>121</v>
      </c>
      <c r="C52" s="16" t="s">
        <v>483</v>
      </c>
      <c r="D52" s="13" t="s">
        <v>484</v>
      </c>
      <c r="E52" s="18" t="s">
        <v>485</v>
      </c>
      <c r="F52" s="12" t="s">
        <v>486</v>
      </c>
      <c r="G52" s="12" t="s">
        <v>28</v>
      </c>
      <c r="H52" s="19" t="s">
        <v>488</v>
      </c>
      <c r="I52" s="12" t="s">
        <v>489</v>
      </c>
      <c r="J52" s="12" t="s">
        <v>490</v>
      </c>
      <c r="K52" s="13" t="s">
        <v>64</v>
      </c>
      <c r="L52" s="39" t="s">
        <v>71</v>
      </c>
      <c r="M52" s="39" t="s">
        <v>75</v>
      </c>
      <c r="N52" s="39" t="s">
        <v>76</v>
      </c>
      <c r="O52" s="39" t="s">
        <v>77</v>
      </c>
      <c r="P52" s="40" t="s">
        <v>389</v>
      </c>
      <c r="Q52" s="30"/>
      <c r="R52" s="27"/>
    </row>
    <row r="53" ht="14.25" customHeight="1">
      <c r="A53" s="13">
        <v>52.0</v>
      </c>
      <c r="B53" s="26"/>
      <c r="C53" s="16" t="s">
        <v>493</v>
      </c>
      <c r="D53" s="13" t="s">
        <v>494</v>
      </c>
      <c r="E53" s="18" t="s">
        <v>495</v>
      </c>
      <c r="F53" s="12" t="s">
        <v>496</v>
      </c>
      <c r="G53" s="12" t="s">
        <v>28</v>
      </c>
      <c r="H53" s="19" t="s">
        <v>497</v>
      </c>
      <c r="I53" s="12" t="s">
        <v>498</v>
      </c>
      <c r="J53" s="12" t="s">
        <v>499</v>
      </c>
      <c r="K53" s="13" t="s">
        <v>64</v>
      </c>
      <c r="L53" s="39" t="s">
        <v>71</v>
      </c>
      <c r="M53" s="39" t="s">
        <v>75</v>
      </c>
      <c r="N53" s="39" t="s">
        <v>76</v>
      </c>
      <c r="O53" s="39" t="s">
        <v>77</v>
      </c>
      <c r="P53" s="26"/>
      <c r="Q53" s="30"/>
      <c r="R53" s="27"/>
    </row>
    <row r="54" ht="14.25" customHeight="1">
      <c r="A54" s="13">
        <v>53.0</v>
      </c>
      <c r="B54" s="26"/>
      <c r="C54" s="16" t="s">
        <v>502</v>
      </c>
      <c r="D54" s="13" t="s">
        <v>503</v>
      </c>
      <c r="E54" s="18" t="s">
        <v>504</v>
      </c>
      <c r="F54" s="12" t="s">
        <v>505</v>
      </c>
      <c r="G54" s="12" t="s">
        <v>28</v>
      </c>
      <c r="H54" s="19" t="s">
        <v>506</v>
      </c>
      <c r="I54" s="12" t="s">
        <v>507</v>
      </c>
      <c r="J54" s="12" t="s">
        <v>508</v>
      </c>
      <c r="K54" s="13" t="s">
        <v>64</v>
      </c>
      <c r="L54" s="39" t="s">
        <v>168</v>
      </c>
      <c r="M54" s="39" t="s">
        <v>169</v>
      </c>
      <c r="N54" s="39" t="s">
        <v>170</v>
      </c>
      <c r="O54" s="39" t="s">
        <v>77</v>
      </c>
      <c r="P54" s="26"/>
      <c r="Q54" s="30"/>
      <c r="R54" s="27"/>
    </row>
    <row r="55" ht="14.25" customHeight="1">
      <c r="A55" s="13">
        <v>54.0</v>
      </c>
      <c r="B55" s="26"/>
      <c r="C55" s="16" t="s">
        <v>509</v>
      </c>
      <c r="D55" s="13" t="s">
        <v>510</v>
      </c>
      <c r="E55" s="18" t="s">
        <v>511</v>
      </c>
      <c r="F55" s="12" t="s">
        <v>512</v>
      </c>
      <c r="G55" s="12" t="s">
        <v>28</v>
      </c>
      <c r="H55" s="19" t="s">
        <v>514</v>
      </c>
      <c r="I55" s="12" t="s">
        <v>515</v>
      </c>
      <c r="J55" s="12" t="s">
        <v>516</v>
      </c>
      <c r="K55" s="13" t="s">
        <v>64</v>
      </c>
      <c r="L55" s="39" t="s">
        <v>168</v>
      </c>
      <c r="M55" s="39" t="s">
        <v>169</v>
      </c>
      <c r="N55" s="39" t="s">
        <v>170</v>
      </c>
      <c r="O55" s="39" t="s">
        <v>77</v>
      </c>
      <c r="P55" s="26"/>
      <c r="Q55" s="30"/>
      <c r="R55" s="27"/>
    </row>
    <row r="56" ht="14.25" customHeight="1">
      <c r="A56" s="13">
        <v>55.0</v>
      </c>
      <c r="B56" s="26"/>
      <c r="C56" s="16" t="s">
        <v>518</v>
      </c>
      <c r="D56" s="13" t="s">
        <v>520</v>
      </c>
      <c r="E56" s="18" t="s">
        <v>521</v>
      </c>
      <c r="F56" s="12" t="s">
        <v>522</v>
      </c>
      <c r="G56" s="12" t="s">
        <v>28</v>
      </c>
      <c r="H56" s="19" t="s">
        <v>523</v>
      </c>
      <c r="I56" s="12" t="s">
        <v>515</v>
      </c>
      <c r="J56" s="12" t="s">
        <v>524</v>
      </c>
      <c r="K56" s="13" t="s">
        <v>64</v>
      </c>
      <c r="L56" s="39" t="s">
        <v>168</v>
      </c>
      <c r="M56" s="39" t="s">
        <v>169</v>
      </c>
      <c r="N56" s="39" t="s">
        <v>170</v>
      </c>
      <c r="O56" s="39" t="s">
        <v>77</v>
      </c>
      <c r="P56" s="28"/>
      <c r="Q56" s="30"/>
      <c r="R56" s="27"/>
    </row>
    <row r="57" ht="14.25" customHeight="1">
      <c r="A57" s="13">
        <v>56.0</v>
      </c>
      <c r="B57" s="26"/>
      <c r="C57" s="16" t="s">
        <v>527</v>
      </c>
      <c r="D57" s="13" t="s">
        <v>528</v>
      </c>
      <c r="E57" s="18" t="s">
        <v>529</v>
      </c>
      <c r="F57" s="12" t="s">
        <v>530</v>
      </c>
      <c r="G57" s="12" t="s">
        <v>104</v>
      </c>
      <c r="H57" s="19" t="s">
        <v>531</v>
      </c>
      <c r="I57" s="12" t="s">
        <v>532</v>
      </c>
      <c r="J57" s="12" t="s">
        <v>534</v>
      </c>
      <c r="K57" s="13" t="s">
        <v>64</v>
      </c>
      <c r="L57" s="21" t="s">
        <v>168</v>
      </c>
      <c r="M57" s="39" t="s">
        <v>169</v>
      </c>
      <c r="N57" s="21" t="s">
        <v>170</v>
      </c>
      <c r="O57" s="39" t="s">
        <v>77</v>
      </c>
      <c r="P57" s="23" t="s">
        <v>271</v>
      </c>
      <c r="Q57" s="30"/>
      <c r="R57" s="27"/>
    </row>
    <row r="58" ht="14.25" customHeight="1">
      <c r="A58" s="13">
        <v>57.0</v>
      </c>
      <c r="B58" s="28"/>
      <c r="C58" s="16" t="s">
        <v>535</v>
      </c>
      <c r="D58" s="13" t="s">
        <v>537</v>
      </c>
      <c r="E58" s="18" t="s">
        <v>538</v>
      </c>
      <c r="F58" s="12" t="s">
        <v>539</v>
      </c>
      <c r="G58" s="12" t="s">
        <v>104</v>
      </c>
      <c r="H58" s="19" t="s">
        <v>540</v>
      </c>
      <c r="I58" s="12" t="s">
        <v>532</v>
      </c>
      <c r="J58" s="12" t="s">
        <v>541</v>
      </c>
      <c r="K58" s="13" t="s">
        <v>64</v>
      </c>
      <c r="L58" s="21" t="s">
        <v>168</v>
      </c>
      <c r="M58" s="39" t="s">
        <v>169</v>
      </c>
      <c r="N58" s="21" t="s">
        <v>170</v>
      </c>
      <c r="O58" s="39" t="s">
        <v>77</v>
      </c>
      <c r="P58" s="28"/>
      <c r="Q58" s="30"/>
      <c r="R58" s="27"/>
    </row>
    <row r="59" ht="14.25" customHeight="1">
      <c r="A59" s="13">
        <v>58.0</v>
      </c>
      <c r="B59" s="15" t="s">
        <v>131</v>
      </c>
      <c r="C59" s="16" t="s">
        <v>544</v>
      </c>
      <c r="D59" s="13" t="s">
        <v>545</v>
      </c>
      <c r="E59" s="18" t="s">
        <v>546</v>
      </c>
      <c r="F59" s="12" t="s">
        <v>547</v>
      </c>
      <c r="G59" s="12" t="s">
        <v>28</v>
      </c>
      <c r="H59" s="19" t="s">
        <v>549</v>
      </c>
      <c r="I59" s="12" t="s">
        <v>515</v>
      </c>
      <c r="J59" s="12" t="s">
        <v>550</v>
      </c>
      <c r="K59" s="13" t="s">
        <v>64</v>
      </c>
      <c r="L59" s="21" t="s">
        <v>168</v>
      </c>
      <c r="M59" s="39" t="s">
        <v>169</v>
      </c>
      <c r="N59" s="21" t="s">
        <v>170</v>
      </c>
      <c r="O59" s="39" t="s">
        <v>77</v>
      </c>
      <c r="P59" s="23" t="s">
        <v>271</v>
      </c>
      <c r="Q59" s="30"/>
      <c r="R59" s="27"/>
    </row>
    <row r="60" ht="14.25" customHeight="1">
      <c r="A60" s="13">
        <v>59.0</v>
      </c>
      <c r="B60" s="26"/>
      <c r="C60" s="16" t="s">
        <v>553</v>
      </c>
      <c r="D60" s="13" t="s">
        <v>554</v>
      </c>
      <c r="E60" s="18" t="s">
        <v>555</v>
      </c>
      <c r="F60" s="12" t="s">
        <v>556</v>
      </c>
      <c r="G60" s="12" t="s">
        <v>28</v>
      </c>
      <c r="H60" s="19" t="s">
        <v>557</v>
      </c>
      <c r="I60" s="12" t="s">
        <v>558</v>
      </c>
      <c r="J60" s="12" t="s">
        <v>559</v>
      </c>
      <c r="K60" s="13" t="s">
        <v>64</v>
      </c>
      <c r="L60" s="21" t="s">
        <v>168</v>
      </c>
      <c r="M60" s="39" t="s">
        <v>169</v>
      </c>
      <c r="N60" s="21" t="s">
        <v>170</v>
      </c>
      <c r="O60" s="39" t="s">
        <v>77</v>
      </c>
      <c r="P60" s="26"/>
      <c r="Q60" s="30"/>
      <c r="R60" s="27"/>
    </row>
    <row r="61" ht="14.25" customHeight="1">
      <c r="A61" s="13">
        <v>60.0</v>
      </c>
      <c r="B61" s="28"/>
      <c r="C61" s="16" t="s">
        <v>562</v>
      </c>
      <c r="D61" s="13" t="s">
        <v>563</v>
      </c>
      <c r="E61" s="18" t="s">
        <v>69</v>
      </c>
      <c r="F61" s="12" t="s">
        <v>564</v>
      </c>
      <c r="G61" s="12" t="s">
        <v>104</v>
      </c>
      <c r="H61" s="19" t="s">
        <v>565</v>
      </c>
      <c r="I61" s="12" t="s">
        <v>532</v>
      </c>
      <c r="J61" s="12" t="s">
        <v>566</v>
      </c>
      <c r="K61" s="13" t="s">
        <v>64</v>
      </c>
      <c r="L61" s="21" t="s">
        <v>168</v>
      </c>
      <c r="M61" s="21" t="s">
        <v>169</v>
      </c>
      <c r="N61" s="21" t="s">
        <v>170</v>
      </c>
      <c r="O61" s="39" t="s">
        <v>77</v>
      </c>
      <c r="P61" s="28"/>
      <c r="Q61" s="30"/>
      <c r="R61" s="27"/>
    </row>
    <row r="62" ht="14.25" customHeight="1">
      <c r="A62" s="13">
        <v>61.0</v>
      </c>
      <c r="B62" s="15" t="s">
        <v>147</v>
      </c>
      <c r="C62" s="16" t="s">
        <v>569</v>
      </c>
      <c r="D62" s="13" t="s">
        <v>570</v>
      </c>
      <c r="E62" s="18" t="s">
        <v>571</v>
      </c>
      <c r="F62" s="12" t="s">
        <v>572</v>
      </c>
      <c r="G62" s="12" t="s">
        <v>31</v>
      </c>
      <c r="H62" s="19" t="s">
        <v>573</v>
      </c>
      <c r="I62" s="12" t="s">
        <v>260</v>
      </c>
      <c r="J62" s="12" t="s">
        <v>574</v>
      </c>
      <c r="K62" s="13" t="s">
        <v>112</v>
      </c>
      <c r="L62" s="21" t="s">
        <v>168</v>
      </c>
      <c r="M62" s="21" t="s">
        <v>169</v>
      </c>
      <c r="N62" s="21" t="s">
        <v>170</v>
      </c>
      <c r="O62" s="39" t="s">
        <v>77</v>
      </c>
      <c r="P62" s="23" t="s">
        <v>576</v>
      </c>
      <c r="Q62" s="30"/>
      <c r="R62" s="42"/>
    </row>
    <row r="63" ht="14.25" customHeight="1">
      <c r="A63" s="13">
        <v>62.0</v>
      </c>
      <c r="B63" s="26"/>
      <c r="C63" s="16" t="s">
        <v>579</v>
      </c>
      <c r="D63" s="13" t="s">
        <v>580</v>
      </c>
      <c r="E63" s="18" t="s">
        <v>581</v>
      </c>
      <c r="F63" s="12" t="s">
        <v>582</v>
      </c>
      <c r="G63" s="12" t="s">
        <v>31</v>
      </c>
      <c r="H63" s="19" t="s">
        <v>583</v>
      </c>
      <c r="I63" s="12" t="s">
        <v>260</v>
      </c>
      <c r="J63" s="12" t="s">
        <v>584</v>
      </c>
      <c r="K63" s="13" t="s">
        <v>112</v>
      </c>
      <c r="L63" s="21" t="s">
        <v>168</v>
      </c>
      <c r="M63" s="21" t="s">
        <v>169</v>
      </c>
      <c r="N63" s="21" t="s">
        <v>170</v>
      </c>
      <c r="O63" s="39" t="s">
        <v>77</v>
      </c>
      <c r="P63" s="26"/>
      <c r="Q63" s="30"/>
      <c r="R63" s="43"/>
    </row>
    <row r="64" ht="14.25" customHeight="1">
      <c r="A64" s="13">
        <v>63.0</v>
      </c>
      <c r="B64" s="26"/>
      <c r="C64" s="16" t="s">
        <v>586</v>
      </c>
      <c r="D64" s="13" t="s">
        <v>587</v>
      </c>
      <c r="E64" s="18" t="s">
        <v>589</v>
      </c>
      <c r="F64" s="12" t="s">
        <v>590</v>
      </c>
      <c r="G64" s="12" t="s">
        <v>31</v>
      </c>
      <c r="H64" s="19" t="s">
        <v>591</v>
      </c>
      <c r="I64" s="12" t="s">
        <v>260</v>
      </c>
      <c r="J64" s="12" t="s">
        <v>593</v>
      </c>
      <c r="K64" s="13" t="s">
        <v>112</v>
      </c>
      <c r="L64" s="21" t="s">
        <v>168</v>
      </c>
      <c r="M64" s="21" t="s">
        <v>169</v>
      </c>
      <c r="N64" s="21" t="s">
        <v>170</v>
      </c>
      <c r="O64" s="21" t="s">
        <v>77</v>
      </c>
      <c r="P64" s="26"/>
      <c r="Q64" s="30"/>
      <c r="R64" s="43"/>
    </row>
    <row r="65" ht="14.25" customHeight="1">
      <c r="A65" s="13">
        <v>64.0</v>
      </c>
      <c r="B65" s="26"/>
      <c r="C65" s="16" t="s">
        <v>595</v>
      </c>
      <c r="D65" s="13" t="s">
        <v>596</v>
      </c>
      <c r="E65" s="18" t="s">
        <v>597</v>
      </c>
      <c r="F65" s="12" t="s">
        <v>598</v>
      </c>
      <c r="G65" s="12" t="s">
        <v>31</v>
      </c>
      <c r="H65" s="19" t="s">
        <v>600</v>
      </c>
      <c r="I65" s="12" t="s">
        <v>260</v>
      </c>
      <c r="J65" s="12" t="s">
        <v>601</v>
      </c>
      <c r="K65" s="13" t="s">
        <v>112</v>
      </c>
      <c r="L65" s="21" t="s">
        <v>168</v>
      </c>
      <c r="M65" s="21" t="s">
        <v>169</v>
      </c>
      <c r="N65" s="21" t="s">
        <v>170</v>
      </c>
      <c r="O65" s="21" t="s">
        <v>77</v>
      </c>
      <c r="P65" s="28"/>
      <c r="Q65" s="30"/>
      <c r="R65" s="43"/>
    </row>
    <row r="66" ht="14.25" customHeight="1">
      <c r="A66" s="13">
        <v>65.0</v>
      </c>
      <c r="B66" s="26"/>
      <c r="C66" s="16" t="s">
        <v>603</v>
      </c>
      <c r="D66" s="13" t="s">
        <v>604</v>
      </c>
      <c r="E66" s="18" t="s">
        <v>606</v>
      </c>
      <c r="F66" s="12" t="s">
        <v>607</v>
      </c>
      <c r="G66" s="12" t="s">
        <v>28</v>
      </c>
      <c r="H66" s="19" t="s">
        <v>608</v>
      </c>
      <c r="I66" s="12" t="s">
        <v>489</v>
      </c>
      <c r="J66" s="12" t="s">
        <v>609</v>
      </c>
      <c r="K66" s="13" t="s">
        <v>112</v>
      </c>
      <c r="L66" s="21" t="s">
        <v>168</v>
      </c>
      <c r="M66" s="21" t="s">
        <v>169</v>
      </c>
      <c r="N66" s="21" t="s">
        <v>170</v>
      </c>
      <c r="O66" s="21" t="s">
        <v>77</v>
      </c>
      <c r="P66" s="23" t="s">
        <v>317</v>
      </c>
      <c r="Q66" s="30"/>
      <c r="R66" s="43"/>
    </row>
    <row r="67" ht="14.25" customHeight="1">
      <c r="A67" s="13">
        <v>66.0</v>
      </c>
      <c r="B67" s="26"/>
      <c r="C67" s="16" t="s">
        <v>612</v>
      </c>
      <c r="D67" s="13" t="s">
        <v>613</v>
      </c>
      <c r="E67" s="18" t="s">
        <v>616</v>
      </c>
      <c r="F67" s="12" t="s">
        <v>617</v>
      </c>
      <c r="G67" s="12" t="s">
        <v>28</v>
      </c>
      <c r="H67" s="19" t="s">
        <v>618</v>
      </c>
      <c r="I67" s="12" t="s">
        <v>489</v>
      </c>
      <c r="J67" s="12" t="s">
        <v>619</v>
      </c>
      <c r="K67" s="13" t="s">
        <v>112</v>
      </c>
      <c r="L67" s="21" t="s">
        <v>168</v>
      </c>
      <c r="M67" s="21" t="s">
        <v>169</v>
      </c>
      <c r="N67" s="21" t="s">
        <v>170</v>
      </c>
      <c r="O67" s="21" t="s">
        <v>77</v>
      </c>
      <c r="P67" s="26"/>
      <c r="Q67" s="30"/>
      <c r="R67" s="27"/>
    </row>
    <row r="68" ht="14.25" customHeight="1">
      <c r="A68" s="13">
        <v>67.0</v>
      </c>
      <c r="B68" s="28"/>
      <c r="C68" s="16" t="s">
        <v>621</v>
      </c>
      <c r="D68" s="13" t="s">
        <v>623</v>
      </c>
      <c r="E68" s="18" t="s">
        <v>624</v>
      </c>
      <c r="F68" s="12" t="s">
        <v>625</v>
      </c>
      <c r="G68" s="12" t="s">
        <v>28</v>
      </c>
      <c r="H68" s="19" t="s">
        <v>626</v>
      </c>
      <c r="I68" s="12" t="s">
        <v>489</v>
      </c>
      <c r="J68" s="12" t="s">
        <v>627</v>
      </c>
      <c r="K68" s="13" t="s">
        <v>112</v>
      </c>
      <c r="L68" s="21" t="s">
        <v>168</v>
      </c>
      <c r="M68" s="21" t="s">
        <v>169</v>
      </c>
      <c r="N68" s="21" t="s">
        <v>170</v>
      </c>
      <c r="O68" s="21" t="s">
        <v>77</v>
      </c>
      <c r="P68" s="28"/>
      <c r="Q68" s="30"/>
      <c r="R68" s="27"/>
    </row>
    <row r="69" ht="14.25" customHeight="1">
      <c r="A69" s="13">
        <v>68.0</v>
      </c>
      <c r="B69" s="15" t="s">
        <v>164</v>
      </c>
      <c r="C69" s="16" t="s">
        <v>630</v>
      </c>
      <c r="D69" s="13" t="s">
        <v>631</v>
      </c>
      <c r="E69" s="18" t="s">
        <v>632</v>
      </c>
      <c r="F69" s="12" t="s">
        <v>633</v>
      </c>
      <c r="G69" s="12" t="s">
        <v>28</v>
      </c>
      <c r="H69" s="19" t="s">
        <v>634</v>
      </c>
      <c r="I69" s="12" t="s">
        <v>635</v>
      </c>
      <c r="J69" s="12" t="s">
        <v>636</v>
      </c>
      <c r="K69" s="13" t="s">
        <v>112</v>
      </c>
      <c r="L69" s="21" t="s">
        <v>199</v>
      </c>
      <c r="M69" s="21" t="s">
        <v>200</v>
      </c>
      <c r="N69" s="21" t="s">
        <v>201</v>
      </c>
      <c r="O69" s="21" t="s">
        <v>202</v>
      </c>
      <c r="P69" s="23" t="s">
        <v>576</v>
      </c>
      <c r="Q69" s="30"/>
      <c r="R69" s="34"/>
    </row>
    <row r="70" ht="14.25" customHeight="1">
      <c r="A70" s="13">
        <v>69.0</v>
      </c>
      <c r="B70" s="26"/>
      <c r="C70" s="16" t="s">
        <v>639</v>
      </c>
      <c r="D70" s="13" t="s">
        <v>640</v>
      </c>
      <c r="E70" s="18" t="s">
        <v>641</v>
      </c>
      <c r="F70" s="12" t="s">
        <v>643</v>
      </c>
      <c r="G70" s="12" t="s">
        <v>79</v>
      </c>
      <c r="H70" s="19" t="s">
        <v>644</v>
      </c>
      <c r="I70" s="12" t="s">
        <v>646</v>
      </c>
      <c r="J70" s="12" t="s">
        <v>647</v>
      </c>
      <c r="K70" s="13" t="s">
        <v>112</v>
      </c>
      <c r="L70" s="21" t="s">
        <v>199</v>
      </c>
      <c r="M70" s="21" t="s">
        <v>200</v>
      </c>
      <c r="N70" s="21" t="s">
        <v>201</v>
      </c>
      <c r="O70" s="21" t="s">
        <v>202</v>
      </c>
      <c r="P70" s="26"/>
      <c r="Q70" s="30"/>
      <c r="R70" s="34"/>
    </row>
    <row r="71" ht="14.25" customHeight="1">
      <c r="A71" s="13">
        <v>70.0</v>
      </c>
      <c r="B71" s="26"/>
      <c r="C71" s="16" t="s">
        <v>649</v>
      </c>
      <c r="D71" s="13" t="s">
        <v>650</v>
      </c>
      <c r="E71" s="18" t="s">
        <v>651</v>
      </c>
      <c r="F71" s="12" t="s">
        <v>652</v>
      </c>
      <c r="G71" s="12" t="s">
        <v>28</v>
      </c>
      <c r="H71" s="19" t="s">
        <v>654</v>
      </c>
      <c r="I71" s="12" t="s">
        <v>635</v>
      </c>
      <c r="J71" s="12" t="s">
        <v>655</v>
      </c>
      <c r="K71" s="13" t="s">
        <v>112</v>
      </c>
      <c r="L71" s="21" t="s">
        <v>199</v>
      </c>
      <c r="M71" s="21" t="s">
        <v>200</v>
      </c>
      <c r="N71" s="21" t="s">
        <v>201</v>
      </c>
      <c r="O71" s="21" t="s">
        <v>202</v>
      </c>
      <c r="P71" s="26"/>
      <c r="Q71" s="30"/>
      <c r="R71" s="34"/>
    </row>
    <row r="72" ht="14.25" customHeight="1">
      <c r="A72" s="13">
        <v>71.0</v>
      </c>
      <c r="B72" s="26"/>
      <c r="C72" s="16" t="s">
        <v>657</v>
      </c>
      <c r="D72" s="13" t="s">
        <v>658</v>
      </c>
      <c r="E72" s="18" t="s">
        <v>659</v>
      </c>
      <c r="F72" s="12" t="s">
        <v>661</v>
      </c>
      <c r="G72" s="12" t="s">
        <v>28</v>
      </c>
      <c r="H72" s="19" t="s">
        <v>662</v>
      </c>
      <c r="I72" s="12" t="s">
        <v>635</v>
      </c>
      <c r="J72" s="12" t="s">
        <v>663</v>
      </c>
      <c r="K72" s="13" t="s">
        <v>112</v>
      </c>
      <c r="L72" s="21" t="s">
        <v>199</v>
      </c>
      <c r="M72" s="21" t="s">
        <v>200</v>
      </c>
      <c r="N72" s="21" t="s">
        <v>201</v>
      </c>
      <c r="O72" s="21" t="s">
        <v>202</v>
      </c>
      <c r="P72" s="26"/>
      <c r="Q72" s="30"/>
      <c r="R72" s="34"/>
    </row>
    <row r="73" ht="14.25" customHeight="1">
      <c r="A73" s="13">
        <v>72.0</v>
      </c>
      <c r="B73" s="28"/>
      <c r="C73" s="16" t="s">
        <v>666</v>
      </c>
      <c r="D73" s="13" t="s">
        <v>667</v>
      </c>
      <c r="E73" s="18" t="s">
        <v>668</v>
      </c>
      <c r="F73" s="12" t="s">
        <v>669</v>
      </c>
      <c r="G73" s="12" t="s">
        <v>104</v>
      </c>
      <c r="H73" s="19" t="s">
        <v>670</v>
      </c>
      <c r="I73" s="12" t="s">
        <v>258</v>
      </c>
      <c r="J73" s="12" t="s">
        <v>671</v>
      </c>
      <c r="K73" s="13" t="s">
        <v>112</v>
      </c>
      <c r="L73" s="21" t="s">
        <v>199</v>
      </c>
      <c r="M73" s="21" t="s">
        <v>200</v>
      </c>
      <c r="N73" s="21" t="s">
        <v>201</v>
      </c>
      <c r="O73" s="21" t="s">
        <v>202</v>
      </c>
      <c r="P73" s="28"/>
      <c r="Q73" s="30"/>
      <c r="R73" s="34"/>
    </row>
    <row r="74" ht="14.25" customHeight="1">
      <c r="A74" s="13">
        <v>73.0</v>
      </c>
      <c r="B74" s="15" t="s">
        <v>180</v>
      </c>
      <c r="C74" s="16" t="s">
        <v>674</v>
      </c>
      <c r="D74" s="13" t="s">
        <v>675</v>
      </c>
      <c r="E74" s="18" t="s">
        <v>676</v>
      </c>
      <c r="F74" s="12" t="s">
        <v>677</v>
      </c>
      <c r="G74" s="12" t="s">
        <v>28</v>
      </c>
      <c r="H74" s="19" t="s">
        <v>678</v>
      </c>
      <c r="I74" s="12" t="s">
        <v>180</v>
      </c>
      <c r="J74" s="12" t="s">
        <v>679</v>
      </c>
      <c r="K74" s="13" t="s">
        <v>680</v>
      </c>
      <c r="L74" s="21" t="s">
        <v>71</v>
      </c>
      <c r="M74" s="21" t="s">
        <v>75</v>
      </c>
      <c r="N74" s="21" t="s">
        <v>76</v>
      </c>
      <c r="O74" s="21" t="s">
        <v>77</v>
      </c>
      <c r="P74" s="23" t="s">
        <v>576</v>
      </c>
      <c r="Q74" s="30"/>
      <c r="R74" s="27"/>
    </row>
    <row r="75" ht="14.25" customHeight="1">
      <c r="A75" s="13">
        <v>74.0</v>
      </c>
      <c r="B75" s="26"/>
      <c r="C75" s="16" t="s">
        <v>683</v>
      </c>
      <c r="D75" s="13" t="s">
        <v>684</v>
      </c>
      <c r="E75" s="18" t="s">
        <v>685</v>
      </c>
      <c r="F75" s="12" t="s">
        <v>686</v>
      </c>
      <c r="G75" s="12" t="s">
        <v>28</v>
      </c>
      <c r="H75" s="19" t="s">
        <v>687</v>
      </c>
      <c r="I75" s="12" t="s">
        <v>688</v>
      </c>
      <c r="J75" s="12" t="s">
        <v>689</v>
      </c>
      <c r="K75" s="13" t="s">
        <v>680</v>
      </c>
      <c r="L75" s="21" t="s">
        <v>71</v>
      </c>
      <c r="M75" s="21" t="s">
        <v>75</v>
      </c>
      <c r="N75" s="21" t="s">
        <v>76</v>
      </c>
      <c r="O75" s="21" t="s">
        <v>77</v>
      </c>
      <c r="P75" s="26"/>
      <c r="Q75" s="30"/>
      <c r="R75" s="27"/>
    </row>
    <row r="76" ht="14.25" customHeight="1">
      <c r="A76" s="13">
        <v>75.0</v>
      </c>
      <c r="B76" s="28"/>
      <c r="C76" s="16" t="s">
        <v>693</v>
      </c>
      <c r="D76" s="13" t="s">
        <v>694</v>
      </c>
      <c r="E76" s="18" t="s">
        <v>695</v>
      </c>
      <c r="F76" s="12" t="s">
        <v>696</v>
      </c>
      <c r="G76" s="12" t="s">
        <v>28</v>
      </c>
      <c r="H76" s="19" t="s">
        <v>697</v>
      </c>
      <c r="I76" s="12" t="s">
        <v>180</v>
      </c>
      <c r="J76" s="12" t="s">
        <v>679</v>
      </c>
      <c r="K76" s="13" t="s">
        <v>680</v>
      </c>
      <c r="L76" s="21" t="s">
        <v>71</v>
      </c>
      <c r="M76" s="21" t="s">
        <v>75</v>
      </c>
      <c r="N76" s="21" t="s">
        <v>76</v>
      </c>
      <c r="O76" s="21" t="s">
        <v>77</v>
      </c>
      <c r="P76" s="28"/>
      <c r="Q76" s="30"/>
      <c r="R76" s="27"/>
    </row>
    <row r="77" ht="14.25" customHeight="1">
      <c r="A77" s="13">
        <v>76.0</v>
      </c>
      <c r="B77" s="15" t="s">
        <v>195</v>
      </c>
      <c r="C77" s="16" t="s">
        <v>699</v>
      </c>
      <c r="D77" s="13" t="s">
        <v>700</v>
      </c>
      <c r="E77" s="18" t="s">
        <v>701</v>
      </c>
      <c r="F77" s="12" t="s">
        <v>702</v>
      </c>
      <c r="G77" s="12" t="s">
        <v>31</v>
      </c>
      <c r="H77" s="19" t="s">
        <v>703</v>
      </c>
      <c r="I77" s="12" t="s">
        <v>704</v>
      </c>
      <c r="J77" s="12" t="s">
        <v>706</v>
      </c>
      <c r="K77" s="13" t="s">
        <v>112</v>
      </c>
      <c r="L77" s="21" t="s">
        <v>199</v>
      </c>
      <c r="M77" s="21" t="s">
        <v>200</v>
      </c>
      <c r="N77" s="21" t="s">
        <v>201</v>
      </c>
      <c r="O77" s="21" t="s">
        <v>202</v>
      </c>
      <c r="P77" s="23" t="s">
        <v>576</v>
      </c>
      <c r="Q77" s="30"/>
      <c r="R77" s="34"/>
    </row>
    <row r="78" ht="14.25" customHeight="1">
      <c r="A78" s="13">
        <v>77.0</v>
      </c>
      <c r="B78" s="26"/>
      <c r="C78" s="16" t="s">
        <v>710</v>
      </c>
      <c r="D78" s="13" t="s">
        <v>711</v>
      </c>
      <c r="E78" s="18" t="s">
        <v>712</v>
      </c>
      <c r="F78" s="12" t="s">
        <v>713</v>
      </c>
      <c r="G78" s="12" t="s">
        <v>31</v>
      </c>
      <c r="H78" s="19" t="s">
        <v>715</v>
      </c>
      <c r="I78" s="12" t="s">
        <v>704</v>
      </c>
      <c r="J78" s="12" t="s">
        <v>706</v>
      </c>
      <c r="K78" s="13" t="s">
        <v>112</v>
      </c>
      <c r="L78" s="21" t="s">
        <v>199</v>
      </c>
      <c r="M78" s="21" t="s">
        <v>200</v>
      </c>
      <c r="N78" s="21" t="s">
        <v>201</v>
      </c>
      <c r="O78" s="21" t="s">
        <v>202</v>
      </c>
      <c r="P78" s="26"/>
      <c r="Q78" s="30"/>
      <c r="R78" s="34"/>
    </row>
    <row r="79" ht="14.25" customHeight="1">
      <c r="A79" s="13">
        <v>78.0</v>
      </c>
      <c r="B79" s="28"/>
      <c r="C79" s="16" t="s">
        <v>718</v>
      </c>
      <c r="D79" s="13" t="s">
        <v>719</v>
      </c>
      <c r="E79" s="18" t="s">
        <v>720</v>
      </c>
      <c r="F79" s="12" t="s">
        <v>721</v>
      </c>
      <c r="G79" s="12" t="s">
        <v>31</v>
      </c>
      <c r="H79" s="19" t="s">
        <v>722</v>
      </c>
      <c r="I79" s="12" t="s">
        <v>704</v>
      </c>
      <c r="J79" s="12" t="s">
        <v>723</v>
      </c>
      <c r="K79" s="13" t="s">
        <v>112</v>
      </c>
      <c r="L79" s="21" t="s">
        <v>199</v>
      </c>
      <c r="M79" s="21" t="s">
        <v>200</v>
      </c>
      <c r="N79" s="21" t="s">
        <v>201</v>
      </c>
      <c r="O79" s="21" t="s">
        <v>202</v>
      </c>
      <c r="P79" s="28"/>
      <c r="Q79" s="30"/>
      <c r="R79" s="34"/>
    </row>
    <row r="80" ht="14.25" customHeight="1">
      <c r="B80" s="44"/>
      <c r="C80" s="45"/>
      <c r="L80" s="46"/>
      <c r="M80" s="46"/>
      <c r="N80" s="46"/>
      <c r="O80" s="46"/>
      <c r="P80" s="47"/>
      <c r="Q80" s="47"/>
      <c r="R80" s="47"/>
    </row>
    <row r="81" ht="14.25" customHeight="1">
      <c r="B81" s="44"/>
      <c r="C81" s="45"/>
      <c r="L81" s="46"/>
      <c r="M81" s="46"/>
      <c r="N81" s="46"/>
      <c r="O81" s="46"/>
      <c r="P81" s="47"/>
      <c r="Q81" s="47"/>
      <c r="R81" s="47"/>
    </row>
    <row r="82" ht="14.25" customHeight="1">
      <c r="B82" s="44"/>
      <c r="C82" s="45"/>
      <c r="L82" s="46"/>
      <c r="M82" s="46"/>
      <c r="N82" s="46"/>
      <c r="O82" s="46"/>
      <c r="P82" s="47"/>
      <c r="Q82" s="47"/>
      <c r="R82" s="47"/>
    </row>
    <row r="83" ht="14.25" customHeight="1">
      <c r="B83" s="44"/>
      <c r="C83" s="45"/>
      <c r="L83" s="46"/>
      <c r="M83" s="46"/>
      <c r="N83" s="46"/>
      <c r="O83" s="46"/>
      <c r="P83" s="47"/>
      <c r="Q83" s="47"/>
      <c r="R83" s="47"/>
    </row>
    <row r="84" ht="14.25" customHeight="1">
      <c r="B84" s="46"/>
      <c r="L84" s="46"/>
      <c r="M84" s="46"/>
      <c r="N84" s="46"/>
      <c r="O84" s="46"/>
      <c r="P84" s="47"/>
      <c r="Q84" s="47"/>
      <c r="R84" s="47"/>
    </row>
    <row r="85" ht="14.25" customHeight="1">
      <c r="B85" s="46"/>
      <c r="L85" s="46"/>
      <c r="M85" s="46"/>
      <c r="N85" s="46"/>
      <c r="O85" s="46"/>
      <c r="P85" s="47"/>
      <c r="Q85" s="47"/>
      <c r="R85" s="47"/>
    </row>
    <row r="86" ht="14.25" customHeight="1">
      <c r="B86" s="46"/>
      <c r="L86" s="46"/>
      <c r="M86" s="46"/>
      <c r="N86" s="46"/>
      <c r="O86" s="46"/>
      <c r="P86" s="47"/>
      <c r="Q86" s="47"/>
      <c r="R86" s="47"/>
    </row>
    <row r="87" ht="14.25" customHeight="1">
      <c r="B87" s="46"/>
      <c r="L87" s="46"/>
      <c r="M87" s="46"/>
      <c r="N87" s="46"/>
      <c r="O87" s="46"/>
      <c r="P87" s="47"/>
      <c r="Q87" s="47"/>
      <c r="R87" s="47"/>
    </row>
    <row r="88" ht="14.25" customHeight="1">
      <c r="A88" s="48" t="s">
        <v>732</v>
      </c>
      <c r="B88" s="49" t="s">
        <v>733</v>
      </c>
      <c r="C88" s="48" t="s">
        <v>735</v>
      </c>
      <c r="L88" s="46"/>
      <c r="M88" s="46"/>
      <c r="N88" s="46"/>
      <c r="O88" s="46"/>
      <c r="P88" s="47"/>
      <c r="Q88" s="47"/>
      <c r="R88" s="47"/>
    </row>
    <row r="89" ht="14.25" customHeight="1">
      <c r="A89" s="50"/>
      <c r="B89" s="49" t="s">
        <v>576</v>
      </c>
      <c r="C89" s="48">
        <f t="shared" ref="C89:C93" si="1">COUNT_MERGED_ROWS("P:P", B89)</f>
        <v>15</v>
      </c>
      <c r="L89" s="46"/>
      <c r="M89" s="46"/>
      <c r="N89" s="46"/>
      <c r="O89" s="46"/>
      <c r="P89" s="47"/>
      <c r="Q89" s="47"/>
      <c r="R89" s="47"/>
    </row>
    <row r="90" ht="14.25" customHeight="1">
      <c r="A90" s="50"/>
      <c r="B90" s="49" t="s">
        <v>389</v>
      </c>
      <c r="C90" s="48">
        <f t="shared" si="1"/>
        <v>13</v>
      </c>
      <c r="L90" s="46"/>
      <c r="M90" s="46"/>
      <c r="N90" s="46"/>
      <c r="O90" s="46"/>
      <c r="P90" s="47"/>
      <c r="Q90" s="47"/>
      <c r="R90" s="47"/>
    </row>
    <row r="91" ht="14.25" customHeight="1">
      <c r="A91" s="50"/>
      <c r="B91" s="49" t="s">
        <v>271</v>
      </c>
      <c r="C91" s="48">
        <f t="shared" si="1"/>
        <v>18</v>
      </c>
      <c r="L91" s="46"/>
      <c r="M91" s="46"/>
      <c r="N91" s="46"/>
      <c r="O91" s="46"/>
      <c r="P91" s="47"/>
      <c r="Q91" s="47"/>
      <c r="R91" s="47"/>
    </row>
    <row r="92" ht="14.25" customHeight="1">
      <c r="A92" s="50"/>
      <c r="B92" s="49" t="s">
        <v>317</v>
      </c>
      <c r="C92" s="48">
        <f t="shared" si="1"/>
        <v>15</v>
      </c>
      <c r="L92" s="46"/>
      <c r="M92" s="46"/>
      <c r="N92" s="46"/>
      <c r="O92" s="46"/>
      <c r="P92" s="47"/>
      <c r="Q92" s="47"/>
      <c r="R92" s="47"/>
    </row>
    <row r="93" ht="14.25" customHeight="1">
      <c r="A93" s="50"/>
      <c r="B93" s="49" t="s">
        <v>78</v>
      </c>
      <c r="C93" s="48">
        <f t="shared" si="1"/>
        <v>17</v>
      </c>
      <c r="L93" s="46"/>
      <c r="M93" s="46"/>
      <c r="N93" s="46"/>
      <c r="O93" s="46"/>
      <c r="P93" s="47"/>
      <c r="Q93" s="47"/>
      <c r="R93" s="47"/>
    </row>
    <row r="94" ht="14.25" customHeight="1">
      <c r="B94" s="46"/>
      <c r="L94" s="46"/>
      <c r="M94" s="46"/>
      <c r="N94" s="46"/>
      <c r="O94" s="46"/>
      <c r="P94" s="47"/>
      <c r="Q94" s="47"/>
      <c r="R94" s="47"/>
    </row>
    <row r="95" ht="14.25" customHeight="1">
      <c r="A95" s="48" t="s">
        <v>732</v>
      </c>
      <c r="B95" s="49" t="s">
        <v>733</v>
      </c>
      <c r="C95" s="48" t="s">
        <v>746</v>
      </c>
      <c r="L95" s="46"/>
      <c r="M95" s="46"/>
      <c r="N95" s="46"/>
      <c r="O95" s="46"/>
      <c r="P95" s="47"/>
      <c r="Q95" s="47"/>
      <c r="R95" s="47"/>
    </row>
    <row r="96" ht="14.25" customHeight="1">
      <c r="A96" s="48" t="s">
        <v>748</v>
      </c>
      <c r="B96" s="49" t="s">
        <v>576</v>
      </c>
      <c r="C96" s="48" t="s">
        <v>749</v>
      </c>
      <c r="L96" s="46"/>
      <c r="M96" s="46"/>
      <c r="N96" s="46"/>
      <c r="O96" s="46"/>
      <c r="P96" s="47"/>
      <c r="Q96" s="47"/>
      <c r="R96" s="47"/>
    </row>
    <row r="97" ht="14.25" customHeight="1">
      <c r="A97" s="48" t="s">
        <v>751</v>
      </c>
      <c r="B97" s="49" t="s">
        <v>389</v>
      </c>
      <c r="C97" s="48" t="s">
        <v>752</v>
      </c>
      <c r="L97" s="46"/>
      <c r="M97" s="46"/>
      <c r="N97" s="46"/>
      <c r="O97" s="46"/>
      <c r="P97" s="47"/>
      <c r="Q97" s="47"/>
      <c r="R97" s="47"/>
    </row>
    <row r="98" ht="14.25" customHeight="1">
      <c r="A98" s="48" t="s">
        <v>753</v>
      </c>
      <c r="B98" s="49" t="s">
        <v>271</v>
      </c>
      <c r="C98" s="48" t="s">
        <v>754</v>
      </c>
      <c r="L98" s="46"/>
      <c r="M98" s="46"/>
      <c r="N98" s="46"/>
      <c r="O98" s="46"/>
      <c r="P98" s="47"/>
      <c r="Q98" s="47"/>
      <c r="R98" s="47"/>
    </row>
    <row r="99" ht="14.25" customHeight="1">
      <c r="A99" s="48" t="s">
        <v>756</v>
      </c>
      <c r="B99" s="49" t="s">
        <v>317</v>
      </c>
      <c r="C99" s="48" t="s">
        <v>757</v>
      </c>
      <c r="L99" s="46"/>
      <c r="M99" s="46"/>
      <c r="N99" s="46"/>
      <c r="O99" s="46"/>
      <c r="P99" s="47"/>
      <c r="Q99" s="47"/>
      <c r="R99" s="47"/>
    </row>
    <row r="100" ht="14.25" customHeight="1">
      <c r="A100" s="48" t="s">
        <v>759</v>
      </c>
      <c r="B100" s="49" t="s">
        <v>78</v>
      </c>
      <c r="C100" s="48" t="s">
        <v>760</v>
      </c>
      <c r="L100" s="46"/>
      <c r="M100" s="46"/>
      <c r="N100" s="46"/>
      <c r="O100" s="46"/>
      <c r="P100" s="47"/>
      <c r="Q100" s="47"/>
      <c r="R100" s="47"/>
    </row>
    <row r="101" ht="14.25" customHeight="1">
      <c r="B101" s="46"/>
      <c r="L101" s="46"/>
      <c r="M101" s="46"/>
      <c r="N101" s="46"/>
      <c r="O101" s="46"/>
      <c r="P101" s="47"/>
      <c r="Q101" s="47"/>
      <c r="R101" s="47"/>
    </row>
    <row r="102" ht="14.25" customHeight="1">
      <c r="B102" s="46"/>
      <c r="L102" s="46"/>
      <c r="M102" s="46"/>
      <c r="N102" s="46"/>
      <c r="O102" s="46"/>
      <c r="P102" s="47"/>
      <c r="Q102" s="47"/>
      <c r="R102" s="47"/>
    </row>
    <row r="103" ht="14.25" customHeight="1">
      <c r="B103" s="46"/>
      <c r="L103" s="46"/>
      <c r="M103" s="46"/>
      <c r="N103" s="46"/>
      <c r="O103" s="46"/>
      <c r="P103" s="47"/>
      <c r="Q103" s="47"/>
      <c r="R103" s="47"/>
    </row>
    <row r="104" ht="14.25" customHeight="1">
      <c r="B104" s="46"/>
      <c r="L104" s="46"/>
      <c r="M104" s="46"/>
      <c r="N104" s="46"/>
      <c r="O104" s="46"/>
      <c r="P104" s="47"/>
      <c r="Q104" s="47"/>
      <c r="R104" s="47"/>
    </row>
    <row r="105" ht="14.25" customHeight="1">
      <c r="B105" s="46"/>
      <c r="L105" s="46"/>
      <c r="M105" s="46"/>
      <c r="N105" s="46"/>
      <c r="O105" s="46"/>
      <c r="P105" s="47"/>
      <c r="Q105" s="47"/>
      <c r="R105" s="47"/>
    </row>
    <row r="106" ht="14.25" customHeight="1">
      <c r="B106" s="46"/>
      <c r="L106" s="46"/>
      <c r="M106" s="46"/>
      <c r="N106" s="46"/>
      <c r="O106" s="46"/>
      <c r="P106" s="47"/>
      <c r="Q106" s="47"/>
      <c r="R106" s="47"/>
    </row>
    <row r="107" ht="14.25" customHeight="1">
      <c r="B107" s="46"/>
      <c r="L107" s="46"/>
      <c r="M107" s="46"/>
      <c r="N107" s="46"/>
      <c r="O107" s="46"/>
      <c r="P107" s="47"/>
      <c r="Q107" s="47"/>
      <c r="R107" s="47"/>
    </row>
    <row r="108" ht="14.25" customHeight="1">
      <c r="B108" s="46"/>
      <c r="L108" s="46"/>
      <c r="M108" s="46"/>
      <c r="N108" s="46"/>
      <c r="O108" s="46"/>
      <c r="P108" s="47"/>
      <c r="Q108" s="47"/>
      <c r="R108" s="47"/>
    </row>
    <row r="109" ht="14.25" customHeight="1">
      <c r="B109" s="46"/>
      <c r="L109" s="46"/>
      <c r="M109" s="46"/>
      <c r="N109" s="46"/>
      <c r="O109" s="46"/>
      <c r="P109" s="47"/>
      <c r="Q109" s="47"/>
      <c r="R109" s="47"/>
    </row>
    <row r="110" ht="14.25" customHeight="1">
      <c r="B110" s="46"/>
      <c r="L110" s="46"/>
      <c r="M110" s="46"/>
      <c r="N110" s="46"/>
      <c r="O110" s="46"/>
      <c r="P110" s="47"/>
      <c r="Q110" s="47"/>
      <c r="R110" s="47"/>
    </row>
    <row r="111" ht="14.25" customHeight="1">
      <c r="B111" s="46"/>
      <c r="L111" s="46"/>
      <c r="M111" s="46"/>
      <c r="N111" s="46"/>
      <c r="O111" s="46"/>
      <c r="P111" s="47"/>
      <c r="Q111" s="47"/>
      <c r="R111" s="47"/>
    </row>
    <row r="112" ht="14.25" customHeight="1">
      <c r="B112" s="46"/>
      <c r="L112" s="46"/>
      <c r="M112" s="46"/>
      <c r="N112" s="46"/>
      <c r="O112" s="46"/>
      <c r="P112" s="47"/>
      <c r="Q112" s="47"/>
      <c r="R112" s="47"/>
    </row>
    <row r="113" ht="14.25" customHeight="1">
      <c r="B113" s="46"/>
      <c r="L113" s="46"/>
      <c r="M113" s="46"/>
      <c r="N113" s="46"/>
      <c r="O113" s="46"/>
      <c r="P113" s="47"/>
      <c r="Q113" s="47"/>
      <c r="R113" s="47"/>
    </row>
    <row r="114" ht="14.25" customHeight="1">
      <c r="B114" s="46"/>
      <c r="L114" s="46"/>
      <c r="M114" s="46"/>
      <c r="N114" s="46"/>
      <c r="O114" s="46"/>
      <c r="P114" s="47"/>
      <c r="Q114" s="47"/>
      <c r="R114" s="47"/>
    </row>
    <row r="115" ht="14.25" customHeight="1">
      <c r="B115" s="46"/>
      <c r="L115" s="46"/>
      <c r="M115" s="46"/>
      <c r="N115" s="46"/>
      <c r="O115" s="46"/>
      <c r="P115" s="47"/>
      <c r="Q115" s="47"/>
      <c r="R115" s="47"/>
    </row>
    <row r="116" ht="14.25" customHeight="1">
      <c r="B116" s="46"/>
      <c r="L116" s="46"/>
      <c r="M116" s="46"/>
      <c r="N116" s="46"/>
      <c r="O116" s="46"/>
      <c r="P116" s="47"/>
      <c r="Q116" s="47"/>
      <c r="R116" s="47"/>
    </row>
    <row r="117" ht="14.25" customHeight="1">
      <c r="B117" s="46"/>
      <c r="L117" s="46"/>
      <c r="M117" s="46"/>
      <c r="N117" s="46"/>
      <c r="O117" s="46"/>
      <c r="P117" s="47"/>
      <c r="Q117" s="47"/>
      <c r="R117" s="47"/>
    </row>
    <row r="118" ht="14.25" customHeight="1">
      <c r="B118" s="46"/>
      <c r="L118" s="46"/>
      <c r="M118" s="46"/>
      <c r="N118" s="46"/>
      <c r="O118" s="46"/>
      <c r="P118" s="47"/>
      <c r="Q118" s="47"/>
      <c r="R118" s="47"/>
    </row>
    <row r="119" ht="14.25" customHeight="1">
      <c r="B119" s="46"/>
      <c r="L119" s="46"/>
      <c r="M119" s="46"/>
      <c r="N119" s="46"/>
      <c r="O119" s="46"/>
      <c r="P119" s="47"/>
      <c r="Q119" s="47"/>
      <c r="R119" s="47"/>
    </row>
    <row r="120" ht="14.25" customHeight="1">
      <c r="B120" s="46"/>
      <c r="L120" s="46"/>
      <c r="M120" s="46"/>
      <c r="N120" s="46"/>
      <c r="O120" s="46"/>
      <c r="P120" s="47"/>
      <c r="Q120" s="47"/>
      <c r="R120" s="47"/>
    </row>
    <row r="121" ht="14.25" customHeight="1">
      <c r="B121" s="46"/>
      <c r="L121" s="46"/>
      <c r="M121" s="46"/>
      <c r="N121" s="46"/>
      <c r="O121" s="46"/>
      <c r="P121" s="47"/>
      <c r="Q121" s="47"/>
      <c r="R121" s="47"/>
    </row>
    <row r="122" ht="14.25" customHeight="1">
      <c r="B122" s="46"/>
      <c r="L122" s="46"/>
      <c r="M122" s="46"/>
      <c r="N122" s="46"/>
      <c r="O122" s="46"/>
      <c r="P122" s="47"/>
      <c r="Q122" s="47"/>
      <c r="R122" s="47"/>
    </row>
    <row r="123" ht="14.25" customHeight="1">
      <c r="B123" s="46"/>
      <c r="L123" s="46"/>
      <c r="M123" s="46"/>
      <c r="N123" s="46"/>
      <c r="O123" s="46"/>
      <c r="P123" s="47"/>
      <c r="Q123" s="47"/>
      <c r="R123" s="47"/>
    </row>
    <row r="124" ht="14.25" customHeight="1">
      <c r="B124" s="46"/>
      <c r="L124" s="46"/>
      <c r="M124" s="46"/>
      <c r="N124" s="46"/>
      <c r="O124" s="46"/>
      <c r="P124" s="47"/>
      <c r="Q124" s="47"/>
      <c r="R124" s="47"/>
    </row>
    <row r="125" ht="14.25" customHeight="1">
      <c r="B125" s="46"/>
      <c r="L125" s="46"/>
      <c r="M125" s="46"/>
      <c r="N125" s="46"/>
      <c r="O125" s="46"/>
      <c r="P125" s="47"/>
      <c r="Q125" s="47"/>
      <c r="R125" s="47"/>
    </row>
    <row r="126" ht="14.25" customHeight="1">
      <c r="B126" s="46"/>
      <c r="L126" s="46"/>
      <c r="M126" s="46"/>
      <c r="N126" s="46"/>
      <c r="O126" s="46"/>
      <c r="P126" s="47"/>
      <c r="Q126" s="47"/>
      <c r="R126" s="47"/>
    </row>
    <row r="127" ht="14.25" customHeight="1">
      <c r="B127" s="46"/>
      <c r="L127" s="46"/>
      <c r="M127" s="46"/>
      <c r="N127" s="46"/>
      <c r="O127" s="46"/>
      <c r="P127" s="47"/>
      <c r="Q127" s="47"/>
      <c r="R127" s="47"/>
    </row>
    <row r="128" ht="14.25" customHeight="1">
      <c r="B128" s="46"/>
      <c r="L128" s="46"/>
      <c r="M128" s="46"/>
      <c r="N128" s="46"/>
      <c r="O128" s="46"/>
      <c r="P128" s="47"/>
      <c r="Q128" s="47"/>
      <c r="R128" s="47"/>
    </row>
    <row r="129" ht="14.25" customHeight="1">
      <c r="B129" s="46"/>
      <c r="L129" s="46"/>
      <c r="M129" s="46"/>
      <c r="N129" s="46"/>
      <c r="O129" s="46"/>
      <c r="P129" s="47"/>
      <c r="Q129" s="47"/>
      <c r="R129" s="47"/>
    </row>
    <row r="130" ht="14.25" customHeight="1">
      <c r="B130" s="46"/>
      <c r="L130" s="46"/>
      <c r="M130" s="46"/>
      <c r="N130" s="46"/>
      <c r="O130" s="46"/>
      <c r="P130" s="47"/>
      <c r="Q130" s="47"/>
      <c r="R130" s="47"/>
    </row>
    <row r="131" ht="14.25" customHeight="1">
      <c r="B131" s="46"/>
      <c r="L131" s="46"/>
      <c r="M131" s="46"/>
      <c r="N131" s="46"/>
      <c r="O131" s="46"/>
      <c r="P131" s="47"/>
      <c r="Q131" s="47"/>
      <c r="R131" s="47"/>
    </row>
    <row r="132" ht="14.25" customHeight="1">
      <c r="B132" s="46"/>
      <c r="L132" s="46"/>
      <c r="M132" s="46"/>
      <c r="N132" s="46"/>
      <c r="O132" s="46"/>
      <c r="P132" s="47"/>
      <c r="Q132" s="47"/>
      <c r="R132" s="47"/>
    </row>
    <row r="133" ht="14.25" customHeight="1">
      <c r="B133" s="46"/>
      <c r="L133" s="46"/>
      <c r="M133" s="46"/>
      <c r="N133" s="46"/>
      <c r="O133" s="46"/>
      <c r="P133" s="47"/>
      <c r="Q133" s="47"/>
      <c r="R133" s="47"/>
    </row>
    <row r="134" ht="14.25" customHeight="1">
      <c r="B134" s="46"/>
      <c r="L134" s="46"/>
      <c r="M134" s="46"/>
      <c r="N134" s="46"/>
      <c r="O134" s="46"/>
      <c r="P134" s="47"/>
      <c r="Q134" s="47"/>
      <c r="R134" s="47"/>
    </row>
    <row r="135" ht="14.25" customHeight="1">
      <c r="B135" s="46"/>
      <c r="L135" s="46"/>
      <c r="M135" s="46"/>
      <c r="N135" s="46"/>
      <c r="O135" s="46"/>
      <c r="P135" s="47"/>
      <c r="Q135" s="47"/>
      <c r="R135" s="47"/>
    </row>
    <row r="136" ht="14.25" customHeight="1">
      <c r="B136" s="46"/>
      <c r="L136" s="46"/>
      <c r="M136" s="46"/>
      <c r="N136" s="46"/>
      <c r="O136" s="46"/>
      <c r="P136" s="47"/>
      <c r="Q136" s="47"/>
      <c r="R136" s="47"/>
    </row>
    <row r="137" ht="14.25" customHeight="1">
      <c r="B137" s="46"/>
      <c r="L137" s="46"/>
      <c r="M137" s="46"/>
      <c r="N137" s="46"/>
      <c r="O137" s="46"/>
      <c r="P137" s="47"/>
      <c r="Q137" s="47"/>
      <c r="R137" s="47"/>
    </row>
    <row r="138" ht="14.25" customHeight="1">
      <c r="B138" s="46"/>
      <c r="L138" s="46"/>
      <c r="M138" s="46"/>
      <c r="N138" s="46"/>
      <c r="O138" s="46"/>
      <c r="P138" s="47"/>
      <c r="Q138" s="47"/>
      <c r="R138" s="47"/>
    </row>
    <row r="139" ht="14.25" customHeight="1">
      <c r="B139" s="46"/>
      <c r="L139" s="46"/>
      <c r="M139" s="46"/>
      <c r="N139" s="46"/>
      <c r="O139" s="46"/>
      <c r="P139" s="47"/>
      <c r="Q139" s="47"/>
      <c r="R139" s="47"/>
    </row>
    <row r="140" ht="14.25" customHeight="1">
      <c r="B140" s="46"/>
      <c r="L140" s="46"/>
      <c r="M140" s="46"/>
      <c r="N140" s="46"/>
      <c r="O140" s="46"/>
      <c r="P140" s="47"/>
      <c r="Q140" s="47"/>
      <c r="R140" s="47"/>
    </row>
    <row r="141" ht="14.25" customHeight="1">
      <c r="B141" s="46"/>
      <c r="L141" s="46"/>
      <c r="M141" s="46"/>
      <c r="N141" s="46"/>
      <c r="O141" s="46"/>
      <c r="P141" s="47"/>
      <c r="Q141" s="47"/>
      <c r="R141" s="47"/>
    </row>
    <row r="142" ht="14.25" customHeight="1">
      <c r="B142" s="46"/>
      <c r="L142" s="46"/>
      <c r="M142" s="46"/>
      <c r="N142" s="46"/>
      <c r="O142" s="46"/>
      <c r="P142" s="47"/>
      <c r="Q142" s="47"/>
      <c r="R142" s="47"/>
    </row>
    <row r="143" ht="14.25" customHeight="1">
      <c r="B143" s="46"/>
      <c r="L143" s="46"/>
      <c r="M143" s="46"/>
      <c r="N143" s="46"/>
      <c r="O143" s="46"/>
      <c r="P143" s="47"/>
      <c r="Q143" s="47"/>
      <c r="R143" s="47"/>
    </row>
    <row r="144" ht="14.25" customHeight="1">
      <c r="B144" s="46"/>
      <c r="L144" s="46"/>
      <c r="M144" s="46"/>
      <c r="N144" s="46"/>
      <c r="O144" s="46"/>
      <c r="P144" s="47"/>
      <c r="Q144" s="47"/>
      <c r="R144" s="47"/>
    </row>
    <row r="145" ht="14.25" customHeight="1">
      <c r="B145" s="46"/>
      <c r="L145" s="46"/>
      <c r="M145" s="46"/>
      <c r="N145" s="46"/>
      <c r="O145" s="46"/>
      <c r="P145" s="47"/>
      <c r="Q145" s="47"/>
      <c r="R145" s="47"/>
    </row>
    <row r="146" ht="14.25" customHeight="1">
      <c r="B146" s="46"/>
      <c r="L146" s="46"/>
      <c r="M146" s="46"/>
      <c r="N146" s="46"/>
      <c r="O146" s="46"/>
      <c r="P146" s="47"/>
      <c r="Q146" s="47"/>
      <c r="R146" s="47"/>
    </row>
    <row r="147" ht="14.25" customHeight="1">
      <c r="B147" s="46"/>
      <c r="L147" s="46"/>
      <c r="M147" s="46"/>
      <c r="N147" s="46"/>
      <c r="O147" s="46"/>
      <c r="P147" s="47"/>
      <c r="Q147" s="47"/>
      <c r="R147" s="47"/>
    </row>
    <row r="148" ht="14.25" customHeight="1">
      <c r="B148" s="46"/>
      <c r="L148" s="46"/>
      <c r="M148" s="46"/>
      <c r="N148" s="46"/>
      <c r="O148" s="46"/>
      <c r="P148" s="47"/>
      <c r="Q148" s="47"/>
      <c r="R148" s="47"/>
    </row>
    <row r="149" ht="14.25" customHeight="1">
      <c r="B149" s="46"/>
      <c r="L149" s="46"/>
      <c r="M149" s="46"/>
      <c r="N149" s="46"/>
      <c r="O149" s="46"/>
      <c r="P149" s="47"/>
      <c r="Q149" s="47"/>
      <c r="R149" s="47"/>
    </row>
    <row r="150" ht="14.25" customHeight="1">
      <c r="B150" s="46"/>
      <c r="L150" s="46"/>
      <c r="M150" s="46"/>
      <c r="N150" s="46"/>
      <c r="O150" s="46"/>
      <c r="P150" s="47"/>
      <c r="Q150" s="47"/>
      <c r="R150" s="47"/>
    </row>
    <row r="151" ht="14.25" customHeight="1">
      <c r="B151" s="46"/>
      <c r="L151" s="46"/>
      <c r="M151" s="46"/>
      <c r="N151" s="46"/>
      <c r="O151" s="46"/>
      <c r="P151" s="47"/>
      <c r="Q151" s="47"/>
      <c r="R151" s="47"/>
    </row>
    <row r="152" ht="14.25" customHeight="1">
      <c r="B152" s="46"/>
      <c r="L152" s="46"/>
      <c r="M152" s="46"/>
      <c r="N152" s="46"/>
      <c r="O152" s="46"/>
      <c r="P152" s="47"/>
      <c r="Q152" s="47"/>
      <c r="R152" s="47"/>
    </row>
    <row r="153" ht="14.25" customHeight="1">
      <c r="B153" s="46"/>
      <c r="L153" s="46"/>
      <c r="M153" s="46"/>
      <c r="N153" s="46"/>
      <c r="O153" s="46"/>
      <c r="P153" s="47"/>
      <c r="Q153" s="47"/>
      <c r="R153" s="47"/>
    </row>
    <row r="154" ht="14.25" customHeight="1">
      <c r="B154" s="46"/>
      <c r="L154" s="46"/>
      <c r="M154" s="46"/>
      <c r="N154" s="46"/>
      <c r="O154" s="46"/>
      <c r="P154" s="47"/>
      <c r="Q154" s="47"/>
      <c r="R154" s="47"/>
    </row>
    <row r="155" ht="14.25" customHeight="1">
      <c r="B155" s="46"/>
      <c r="L155" s="46"/>
      <c r="M155" s="46"/>
      <c r="N155" s="46"/>
      <c r="O155" s="46"/>
      <c r="P155" s="47"/>
      <c r="Q155" s="47"/>
      <c r="R155" s="47"/>
    </row>
    <row r="156" ht="14.25" customHeight="1">
      <c r="B156" s="46"/>
      <c r="L156" s="46"/>
      <c r="M156" s="46"/>
      <c r="N156" s="46"/>
      <c r="O156" s="46"/>
      <c r="P156" s="47"/>
      <c r="Q156" s="47"/>
      <c r="R156" s="47"/>
    </row>
    <row r="157" ht="14.25" customHeight="1">
      <c r="B157" s="46"/>
      <c r="L157" s="46"/>
      <c r="M157" s="46"/>
      <c r="N157" s="46"/>
      <c r="O157" s="46"/>
      <c r="P157" s="47"/>
      <c r="Q157" s="47"/>
      <c r="R157" s="47"/>
    </row>
    <row r="158" ht="14.25" customHeight="1">
      <c r="B158" s="46"/>
      <c r="L158" s="46"/>
      <c r="M158" s="46"/>
      <c r="N158" s="46"/>
      <c r="O158" s="46"/>
      <c r="P158" s="47"/>
      <c r="Q158" s="47"/>
      <c r="R158" s="47"/>
    </row>
    <row r="159" ht="14.25" customHeight="1">
      <c r="B159" s="46"/>
      <c r="L159" s="46"/>
      <c r="M159" s="46"/>
      <c r="N159" s="46"/>
      <c r="O159" s="46"/>
      <c r="P159" s="47"/>
      <c r="Q159" s="47"/>
      <c r="R159" s="47"/>
    </row>
    <row r="160" ht="14.25" customHeight="1">
      <c r="B160" s="46"/>
      <c r="L160" s="46"/>
      <c r="M160" s="46"/>
      <c r="N160" s="46"/>
      <c r="O160" s="46"/>
      <c r="P160" s="47"/>
      <c r="Q160" s="47"/>
      <c r="R160" s="47"/>
    </row>
    <row r="161" ht="14.25" customHeight="1">
      <c r="B161" s="46"/>
      <c r="L161" s="46"/>
      <c r="M161" s="46"/>
      <c r="N161" s="46"/>
      <c r="O161" s="46"/>
      <c r="P161" s="47"/>
      <c r="Q161" s="47"/>
      <c r="R161" s="47"/>
    </row>
    <row r="162" ht="14.25" customHeight="1">
      <c r="B162" s="46"/>
      <c r="L162" s="46"/>
      <c r="M162" s="46"/>
      <c r="N162" s="46"/>
      <c r="O162" s="46"/>
      <c r="P162" s="47"/>
      <c r="Q162" s="47"/>
      <c r="R162" s="47"/>
    </row>
    <row r="163" ht="14.25" customHeight="1">
      <c r="B163" s="46"/>
      <c r="L163" s="46"/>
      <c r="M163" s="46"/>
      <c r="N163" s="46"/>
      <c r="O163" s="46"/>
      <c r="P163" s="47"/>
      <c r="Q163" s="47"/>
      <c r="R163" s="47"/>
    </row>
    <row r="164" ht="14.25" customHeight="1">
      <c r="B164" s="46"/>
      <c r="L164" s="46"/>
      <c r="M164" s="46"/>
      <c r="N164" s="46"/>
      <c r="O164" s="46"/>
      <c r="P164" s="47"/>
      <c r="Q164" s="47"/>
      <c r="R164" s="47"/>
    </row>
    <row r="165" ht="14.25" customHeight="1">
      <c r="B165" s="46"/>
      <c r="L165" s="46"/>
      <c r="M165" s="46"/>
      <c r="N165" s="46"/>
      <c r="O165" s="46"/>
      <c r="P165" s="47"/>
      <c r="Q165" s="47"/>
      <c r="R165" s="47"/>
    </row>
    <row r="166" ht="14.25" customHeight="1">
      <c r="B166" s="46"/>
      <c r="L166" s="46"/>
      <c r="M166" s="46"/>
      <c r="N166" s="46"/>
      <c r="O166" s="46"/>
      <c r="P166" s="47"/>
      <c r="Q166" s="47"/>
      <c r="R166" s="47"/>
    </row>
    <row r="167" ht="14.25" customHeight="1">
      <c r="B167" s="46"/>
      <c r="L167" s="46"/>
      <c r="M167" s="46"/>
      <c r="N167" s="46"/>
      <c r="O167" s="46"/>
      <c r="P167" s="47"/>
      <c r="Q167" s="47"/>
      <c r="R167" s="47"/>
    </row>
    <row r="168" ht="14.25" customHeight="1">
      <c r="B168" s="46"/>
      <c r="L168" s="46"/>
      <c r="M168" s="46"/>
      <c r="N168" s="46"/>
      <c r="O168" s="46"/>
      <c r="P168" s="47"/>
      <c r="Q168" s="47"/>
      <c r="R168" s="47"/>
    </row>
    <row r="169" ht="14.25" customHeight="1">
      <c r="B169" s="46"/>
      <c r="L169" s="46"/>
      <c r="M169" s="46"/>
      <c r="N169" s="46"/>
      <c r="O169" s="46"/>
      <c r="P169" s="47"/>
      <c r="Q169" s="47"/>
      <c r="R169" s="47"/>
    </row>
    <row r="170" ht="14.25" customHeight="1">
      <c r="B170" s="46"/>
      <c r="L170" s="46"/>
      <c r="M170" s="46"/>
      <c r="N170" s="46"/>
      <c r="O170" s="46"/>
      <c r="P170" s="47"/>
      <c r="Q170" s="47"/>
      <c r="R170" s="47"/>
    </row>
    <row r="171" ht="14.25" customHeight="1">
      <c r="B171" s="46"/>
      <c r="L171" s="46"/>
      <c r="M171" s="46"/>
      <c r="N171" s="46"/>
      <c r="O171" s="46"/>
      <c r="P171" s="47"/>
      <c r="Q171" s="47"/>
      <c r="R171" s="47"/>
    </row>
    <row r="172" ht="14.25" customHeight="1">
      <c r="B172" s="46"/>
      <c r="L172" s="46"/>
      <c r="M172" s="46"/>
      <c r="N172" s="46"/>
      <c r="O172" s="46"/>
      <c r="P172" s="47"/>
      <c r="Q172" s="47"/>
      <c r="R172" s="47"/>
    </row>
    <row r="173" ht="14.25" customHeight="1">
      <c r="B173" s="46"/>
      <c r="L173" s="46"/>
      <c r="M173" s="46"/>
      <c r="N173" s="46"/>
      <c r="O173" s="46"/>
      <c r="P173" s="47"/>
      <c r="Q173" s="47"/>
      <c r="R173" s="47"/>
    </row>
    <row r="174" ht="14.25" customHeight="1">
      <c r="B174" s="46"/>
      <c r="L174" s="46"/>
      <c r="M174" s="46"/>
      <c r="N174" s="46"/>
      <c r="O174" s="46"/>
      <c r="P174" s="47"/>
      <c r="Q174" s="47"/>
      <c r="R174" s="47"/>
    </row>
    <row r="175" ht="14.25" customHeight="1">
      <c r="B175" s="46"/>
      <c r="L175" s="46"/>
      <c r="M175" s="46"/>
      <c r="N175" s="46"/>
      <c r="O175" s="46"/>
      <c r="P175" s="47"/>
      <c r="Q175" s="47"/>
      <c r="R175" s="47"/>
    </row>
    <row r="176" ht="14.25" customHeight="1">
      <c r="B176" s="46"/>
      <c r="L176" s="46"/>
      <c r="M176" s="46"/>
      <c r="N176" s="46"/>
      <c r="O176" s="46"/>
      <c r="P176" s="47"/>
      <c r="Q176" s="47"/>
      <c r="R176" s="47"/>
    </row>
    <row r="177" ht="14.25" customHeight="1">
      <c r="B177" s="46"/>
      <c r="L177" s="46"/>
      <c r="M177" s="46"/>
      <c r="N177" s="46"/>
      <c r="O177" s="46"/>
      <c r="P177" s="47"/>
      <c r="Q177" s="47"/>
      <c r="R177" s="47"/>
    </row>
    <row r="178" ht="14.25" customHeight="1">
      <c r="B178" s="46"/>
      <c r="L178" s="46"/>
      <c r="M178" s="46"/>
      <c r="N178" s="46"/>
      <c r="O178" s="46"/>
      <c r="P178" s="47"/>
      <c r="Q178" s="47"/>
      <c r="R178" s="47"/>
    </row>
    <row r="179" ht="14.25" customHeight="1">
      <c r="B179" s="46"/>
      <c r="L179" s="46"/>
      <c r="M179" s="46"/>
      <c r="N179" s="46"/>
      <c r="O179" s="46"/>
      <c r="P179" s="47"/>
      <c r="Q179" s="47"/>
      <c r="R179" s="47"/>
    </row>
    <row r="180" ht="14.25" customHeight="1">
      <c r="B180" s="46"/>
      <c r="L180" s="46"/>
      <c r="M180" s="46"/>
      <c r="N180" s="46"/>
      <c r="O180" s="46"/>
      <c r="P180" s="47"/>
      <c r="Q180" s="47"/>
      <c r="R180" s="47"/>
    </row>
    <row r="181" ht="14.25" customHeight="1">
      <c r="B181" s="46"/>
      <c r="L181" s="46"/>
      <c r="M181" s="46"/>
      <c r="N181" s="46"/>
      <c r="O181" s="46"/>
      <c r="P181" s="47"/>
      <c r="Q181" s="47"/>
      <c r="R181" s="47"/>
    </row>
    <row r="182" ht="14.25" customHeight="1">
      <c r="B182" s="46"/>
      <c r="L182" s="46"/>
      <c r="M182" s="46"/>
      <c r="N182" s="46"/>
      <c r="O182" s="46"/>
      <c r="P182" s="47"/>
      <c r="Q182" s="47"/>
      <c r="R182" s="47"/>
    </row>
    <row r="183" ht="14.25" customHeight="1">
      <c r="B183" s="46"/>
      <c r="L183" s="46"/>
      <c r="M183" s="46"/>
      <c r="N183" s="46"/>
      <c r="O183" s="46"/>
      <c r="P183" s="47"/>
      <c r="Q183" s="47"/>
      <c r="R183" s="47"/>
    </row>
    <row r="184" ht="14.25" customHeight="1">
      <c r="B184" s="46"/>
      <c r="L184" s="46"/>
      <c r="M184" s="46"/>
      <c r="N184" s="46"/>
      <c r="O184" s="46"/>
      <c r="P184" s="47"/>
      <c r="Q184" s="47"/>
      <c r="R184" s="47"/>
    </row>
    <row r="185" ht="14.25" customHeight="1">
      <c r="B185" s="46"/>
      <c r="L185" s="46"/>
      <c r="M185" s="46"/>
      <c r="N185" s="46"/>
      <c r="O185" s="46"/>
      <c r="P185" s="47"/>
      <c r="Q185" s="47"/>
      <c r="R185" s="47"/>
    </row>
    <row r="186" ht="14.25" customHeight="1">
      <c r="B186" s="46"/>
      <c r="L186" s="46"/>
      <c r="M186" s="46"/>
      <c r="N186" s="46"/>
      <c r="O186" s="46"/>
      <c r="P186" s="47"/>
      <c r="Q186" s="47"/>
      <c r="R186" s="47"/>
    </row>
    <row r="187" ht="14.25" customHeight="1">
      <c r="B187" s="46"/>
      <c r="L187" s="46"/>
      <c r="M187" s="46"/>
      <c r="N187" s="46"/>
      <c r="O187" s="46"/>
      <c r="P187" s="47"/>
      <c r="Q187" s="47"/>
      <c r="R187" s="47"/>
    </row>
    <row r="188" ht="14.25" customHeight="1">
      <c r="B188" s="46"/>
      <c r="L188" s="46"/>
      <c r="M188" s="46"/>
      <c r="N188" s="46"/>
      <c r="O188" s="46"/>
      <c r="P188" s="47"/>
      <c r="Q188" s="47"/>
      <c r="R188" s="47"/>
    </row>
    <row r="189" ht="14.25" customHeight="1">
      <c r="B189" s="46"/>
      <c r="L189" s="46"/>
      <c r="M189" s="46"/>
      <c r="N189" s="46"/>
      <c r="O189" s="46"/>
      <c r="P189" s="47"/>
      <c r="Q189" s="47"/>
      <c r="R189" s="47"/>
    </row>
    <row r="190" ht="14.25" customHeight="1">
      <c r="B190" s="46"/>
      <c r="L190" s="46"/>
      <c r="M190" s="46"/>
      <c r="N190" s="46"/>
      <c r="O190" s="46"/>
      <c r="P190" s="47"/>
      <c r="Q190" s="47"/>
      <c r="R190" s="47"/>
    </row>
    <row r="191" ht="14.25" customHeight="1">
      <c r="B191" s="46"/>
      <c r="L191" s="46"/>
      <c r="M191" s="46"/>
      <c r="N191" s="46"/>
      <c r="O191" s="46"/>
      <c r="P191" s="47"/>
      <c r="Q191" s="47"/>
      <c r="R191" s="47"/>
    </row>
    <row r="192" ht="14.25" customHeight="1">
      <c r="B192" s="46"/>
      <c r="L192" s="46"/>
      <c r="M192" s="46"/>
      <c r="N192" s="46"/>
      <c r="O192" s="46"/>
      <c r="P192" s="47"/>
      <c r="Q192" s="47"/>
      <c r="R192" s="47"/>
    </row>
    <row r="193" ht="14.25" customHeight="1">
      <c r="B193" s="46"/>
      <c r="L193" s="46"/>
      <c r="M193" s="46"/>
      <c r="N193" s="46"/>
      <c r="O193" s="46"/>
      <c r="P193" s="47"/>
      <c r="Q193" s="47"/>
      <c r="R193" s="47"/>
    </row>
    <row r="194" ht="14.25" customHeight="1">
      <c r="B194" s="46"/>
      <c r="L194" s="46"/>
      <c r="M194" s="46"/>
      <c r="N194" s="46"/>
      <c r="O194" s="46"/>
      <c r="P194" s="47"/>
      <c r="Q194" s="47"/>
      <c r="R194" s="47"/>
    </row>
    <row r="195" ht="14.25" customHeight="1">
      <c r="B195" s="46"/>
      <c r="L195" s="46"/>
      <c r="M195" s="46"/>
      <c r="N195" s="46"/>
      <c r="O195" s="46"/>
      <c r="P195" s="47"/>
      <c r="Q195" s="47"/>
      <c r="R195" s="47"/>
    </row>
    <row r="196" ht="14.25" customHeight="1">
      <c r="B196" s="46"/>
      <c r="L196" s="46"/>
      <c r="M196" s="46"/>
      <c r="N196" s="46"/>
      <c r="O196" s="46"/>
      <c r="P196" s="47"/>
      <c r="Q196" s="47"/>
      <c r="R196" s="47"/>
    </row>
    <row r="197" ht="14.25" customHeight="1">
      <c r="B197" s="46"/>
      <c r="L197" s="46"/>
      <c r="M197" s="46"/>
      <c r="N197" s="46"/>
      <c r="O197" s="46"/>
      <c r="P197" s="47"/>
      <c r="Q197" s="47"/>
      <c r="R197" s="47"/>
    </row>
    <row r="198" ht="14.25" customHeight="1">
      <c r="B198" s="46"/>
      <c r="L198" s="46"/>
      <c r="M198" s="46"/>
      <c r="N198" s="46"/>
      <c r="O198" s="46"/>
      <c r="P198" s="47"/>
      <c r="Q198" s="47"/>
      <c r="R198" s="47"/>
    </row>
    <row r="199" ht="14.25" customHeight="1">
      <c r="B199" s="46"/>
      <c r="L199" s="46"/>
      <c r="M199" s="46"/>
      <c r="N199" s="46"/>
      <c r="O199" s="46"/>
      <c r="P199" s="47"/>
      <c r="Q199" s="47"/>
      <c r="R199" s="47"/>
    </row>
    <row r="200" ht="14.25" customHeight="1">
      <c r="B200" s="46"/>
      <c r="L200" s="46"/>
      <c r="M200" s="46"/>
      <c r="N200" s="46"/>
      <c r="O200" s="46"/>
      <c r="P200" s="47"/>
      <c r="Q200" s="47"/>
      <c r="R200" s="47"/>
    </row>
    <row r="201" ht="14.25" customHeight="1">
      <c r="B201" s="46"/>
      <c r="L201" s="46"/>
      <c r="M201" s="46"/>
      <c r="N201" s="46"/>
      <c r="O201" s="46"/>
      <c r="P201" s="47"/>
      <c r="Q201" s="47"/>
      <c r="R201" s="47"/>
    </row>
    <row r="202" ht="14.25" customHeight="1">
      <c r="B202" s="46"/>
      <c r="L202" s="46"/>
      <c r="M202" s="46"/>
      <c r="N202" s="46"/>
      <c r="O202" s="46"/>
      <c r="P202" s="47"/>
      <c r="Q202" s="47"/>
      <c r="R202" s="47"/>
    </row>
    <row r="203" ht="14.25" customHeight="1">
      <c r="B203" s="46"/>
      <c r="L203" s="46"/>
      <c r="M203" s="46"/>
      <c r="N203" s="46"/>
      <c r="O203" s="46"/>
      <c r="P203" s="47"/>
      <c r="Q203" s="47"/>
      <c r="R203" s="47"/>
    </row>
    <row r="204" ht="14.25" customHeight="1">
      <c r="B204" s="46"/>
      <c r="L204" s="46"/>
      <c r="M204" s="46"/>
      <c r="N204" s="46"/>
      <c r="O204" s="46"/>
      <c r="P204" s="47"/>
      <c r="Q204" s="47"/>
      <c r="R204" s="47"/>
    </row>
    <row r="205" ht="14.25" customHeight="1">
      <c r="B205" s="46"/>
      <c r="L205" s="46"/>
      <c r="M205" s="46"/>
      <c r="N205" s="46"/>
      <c r="O205" s="46"/>
      <c r="P205" s="47"/>
      <c r="Q205" s="47"/>
      <c r="R205" s="47"/>
    </row>
    <row r="206" ht="14.25" customHeight="1">
      <c r="B206" s="46"/>
      <c r="L206" s="46"/>
      <c r="M206" s="46"/>
      <c r="N206" s="46"/>
      <c r="O206" s="46"/>
      <c r="P206" s="47"/>
      <c r="Q206" s="47"/>
      <c r="R206" s="47"/>
    </row>
    <row r="207" ht="14.25" customHeight="1">
      <c r="B207" s="46"/>
      <c r="L207" s="46"/>
      <c r="M207" s="46"/>
      <c r="N207" s="46"/>
      <c r="O207" s="46"/>
      <c r="P207" s="47"/>
      <c r="Q207" s="47"/>
      <c r="R207" s="47"/>
    </row>
    <row r="208" ht="14.25" customHeight="1">
      <c r="B208" s="46"/>
      <c r="L208" s="46"/>
      <c r="M208" s="46"/>
      <c r="N208" s="46"/>
      <c r="O208" s="46"/>
      <c r="P208" s="47"/>
      <c r="Q208" s="47"/>
      <c r="R208" s="47"/>
    </row>
    <row r="209" ht="14.25" customHeight="1">
      <c r="B209" s="46"/>
      <c r="L209" s="46"/>
      <c r="M209" s="46"/>
      <c r="N209" s="46"/>
      <c r="O209" s="46"/>
      <c r="P209" s="47"/>
      <c r="Q209" s="47"/>
      <c r="R209" s="47"/>
    </row>
    <row r="210" ht="14.25" customHeight="1">
      <c r="B210" s="46"/>
      <c r="L210" s="46"/>
      <c r="M210" s="46"/>
      <c r="N210" s="46"/>
      <c r="O210" s="46"/>
      <c r="P210" s="47"/>
      <c r="Q210" s="47"/>
      <c r="R210" s="47"/>
    </row>
    <row r="211" ht="14.25" customHeight="1">
      <c r="B211" s="46"/>
      <c r="L211" s="46"/>
      <c r="M211" s="46"/>
      <c r="N211" s="46"/>
      <c r="O211" s="46"/>
      <c r="P211" s="47"/>
      <c r="Q211" s="47"/>
      <c r="R211" s="47"/>
    </row>
    <row r="212" ht="14.25" customHeight="1">
      <c r="B212" s="46"/>
      <c r="L212" s="46"/>
      <c r="M212" s="46"/>
      <c r="N212" s="46"/>
      <c r="O212" s="46"/>
      <c r="P212" s="47"/>
      <c r="Q212" s="47"/>
      <c r="R212" s="47"/>
    </row>
    <row r="213" ht="14.25" customHeight="1">
      <c r="B213" s="46"/>
      <c r="L213" s="46"/>
      <c r="M213" s="46"/>
      <c r="N213" s="46"/>
      <c r="O213" s="46"/>
      <c r="P213" s="47"/>
      <c r="Q213" s="47"/>
      <c r="R213" s="47"/>
    </row>
    <row r="214" ht="14.25" customHeight="1">
      <c r="B214" s="46"/>
      <c r="L214" s="46"/>
      <c r="M214" s="46"/>
      <c r="N214" s="46"/>
      <c r="O214" s="46"/>
      <c r="P214" s="47"/>
      <c r="Q214" s="47"/>
      <c r="R214" s="47"/>
    </row>
    <row r="215" ht="14.25" customHeight="1">
      <c r="B215" s="46"/>
      <c r="L215" s="46"/>
      <c r="M215" s="46"/>
      <c r="N215" s="46"/>
      <c r="O215" s="46"/>
      <c r="P215" s="47"/>
      <c r="Q215" s="47"/>
      <c r="R215" s="47"/>
    </row>
    <row r="216" ht="14.25" customHeight="1">
      <c r="B216" s="46"/>
      <c r="L216" s="46"/>
      <c r="M216" s="46"/>
      <c r="N216" s="46"/>
      <c r="O216" s="46"/>
      <c r="P216" s="47"/>
      <c r="Q216" s="47"/>
      <c r="R216" s="47"/>
    </row>
    <row r="217" ht="14.25" customHeight="1">
      <c r="B217" s="46"/>
      <c r="L217" s="46"/>
      <c r="M217" s="46"/>
      <c r="N217" s="46"/>
      <c r="O217" s="46"/>
      <c r="P217" s="47"/>
      <c r="Q217" s="47"/>
      <c r="R217" s="47"/>
    </row>
    <row r="218" ht="14.25" customHeight="1">
      <c r="B218" s="46"/>
      <c r="L218" s="46"/>
      <c r="M218" s="46"/>
      <c r="N218" s="46"/>
      <c r="O218" s="46"/>
      <c r="P218" s="47"/>
      <c r="Q218" s="47"/>
      <c r="R218" s="47"/>
    </row>
    <row r="219" ht="14.25" customHeight="1">
      <c r="B219" s="46"/>
      <c r="L219" s="46"/>
      <c r="M219" s="46"/>
      <c r="N219" s="46"/>
      <c r="O219" s="46"/>
      <c r="P219" s="47"/>
      <c r="Q219" s="47"/>
      <c r="R219" s="47"/>
    </row>
    <row r="220" ht="14.25" customHeight="1">
      <c r="B220" s="46"/>
      <c r="L220" s="46"/>
      <c r="M220" s="46"/>
      <c r="N220" s="46"/>
      <c r="O220" s="46"/>
      <c r="P220" s="47"/>
      <c r="Q220" s="47"/>
      <c r="R220" s="47"/>
    </row>
    <row r="221" ht="14.25" customHeight="1">
      <c r="B221" s="46"/>
      <c r="L221" s="46"/>
      <c r="M221" s="46"/>
      <c r="N221" s="46"/>
      <c r="O221" s="46"/>
      <c r="P221" s="47"/>
      <c r="Q221" s="47"/>
      <c r="R221" s="47"/>
    </row>
    <row r="222" ht="14.25" customHeight="1">
      <c r="B222" s="46"/>
      <c r="L222" s="46"/>
      <c r="M222" s="46"/>
      <c r="N222" s="46"/>
      <c r="O222" s="46"/>
      <c r="P222" s="47"/>
      <c r="Q222" s="47"/>
      <c r="R222" s="47"/>
    </row>
    <row r="223" ht="14.25" customHeight="1">
      <c r="B223" s="46"/>
      <c r="L223" s="46"/>
      <c r="M223" s="46"/>
      <c r="N223" s="46"/>
      <c r="O223" s="46"/>
      <c r="P223" s="47"/>
      <c r="Q223" s="47"/>
      <c r="R223" s="47"/>
    </row>
    <row r="224" ht="14.25" customHeight="1">
      <c r="B224" s="46"/>
      <c r="L224" s="46"/>
      <c r="M224" s="46"/>
      <c r="N224" s="46"/>
      <c r="O224" s="46"/>
      <c r="P224" s="47"/>
      <c r="Q224" s="47"/>
      <c r="R224" s="47"/>
    </row>
    <row r="225" ht="14.25" customHeight="1">
      <c r="B225" s="46"/>
      <c r="L225" s="46"/>
      <c r="M225" s="46"/>
      <c r="N225" s="46"/>
      <c r="O225" s="46"/>
      <c r="P225" s="47"/>
      <c r="Q225" s="47"/>
      <c r="R225" s="47"/>
    </row>
    <row r="226" ht="14.25" customHeight="1">
      <c r="B226" s="46"/>
      <c r="L226" s="46"/>
      <c r="M226" s="46"/>
      <c r="N226" s="46"/>
      <c r="O226" s="46"/>
      <c r="P226" s="47"/>
      <c r="Q226" s="47"/>
      <c r="R226" s="47"/>
    </row>
    <row r="227" ht="14.25" customHeight="1">
      <c r="B227" s="46"/>
      <c r="L227" s="46"/>
      <c r="M227" s="46"/>
      <c r="N227" s="46"/>
      <c r="O227" s="46"/>
      <c r="P227" s="47"/>
      <c r="Q227" s="47"/>
      <c r="R227" s="47"/>
    </row>
    <row r="228" ht="14.25" customHeight="1">
      <c r="B228" s="46"/>
      <c r="L228" s="46"/>
      <c r="M228" s="46"/>
      <c r="N228" s="46"/>
      <c r="O228" s="46"/>
      <c r="P228" s="47"/>
      <c r="Q228" s="47"/>
      <c r="R228" s="47"/>
    </row>
    <row r="229" ht="14.25" customHeight="1">
      <c r="B229" s="46"/>
      <c r="L229" s="46"/>
      <c r="M229" s="46"/>
      <c r="N229" s="46"/>
      <c r="O229" s="46"/>
      <c r="P229" s="47"/>
      <c r="Q229" s="47"/>
      <c r="R229" s="47"/>
    </row>
    <row r="230" ht="14.25" customHeight="1">
      <c r="B230" s="46"/>
      <c r="L230" s="46"/>
      <c r="M230" s="46"/>
      <c r="N230" s="46"/>
      <c r="O230" s="46"/>
      <c r="P230" s="47"/>
      <c r="Q230" s="47"/>
      <c r="R230" s="47"/>
    </row>
    <row r="231" ht="14.25" customHeight="1">
      <c r="B231" s="46"/>
      <c r="L231" s="46"/>
      <c r="M231" s="46"/>
      <c r="N231" s="46"/>
      <c r="O231" s="46"/>
      <c r="P231" s="47"/>
      <c r="Q231" s="47"/>
      <c r="R231" s="47"/>
    </row>
    <row r="232" ht="14.25" customHeight="1">
      <c r="B232" s="46"/>
      <c r="L232" s="46"/>
      <c r="M232" s="46"/>
      <c r="N232" s="46"/>
      <c r="O232" s="46"/>
      <c r="P232" s="47"/>
      <c r="Q232" s="47"/>
      <c r="R232" s="47"/>
    </row>
    <row r="233" ht="14.25" customHeight="1">
      <c r="B233" s="46"/>
      <c r="L233" s="46"/>
      <c r="M233" s="46"/>
      <c r="N233" s="46"/>
      <c r="O233" s="46"/>
      <c r="P233" s="47"/>
      <c r="Q233" s="47"/>
      <c r="R233" s="47"/>
    </row>
    <row r="234" ht="14.25" customHeight="1">
      <c r="B234" s="46"/>
      <c r="L234" s="46"/>
      <c r="M234" s="46"/>
      <c r="N234" s="46"/>
      <c r="O234" s="46"/>
      <c r="P234" s="47"/>
      <c r="Q234" s="47"/>
      <c r="R234" s="47"/>
    </row>
    <row r="235" ht="14.25" customHeight="1">
      <c r="B235" s="46"/>
      <c r="L235" s="46"/>
      <c r="M235" s="46"/>
      <c r="N235" s="46"/>
      <c r="O235" s="46"/>
      <c r="P235" s="47"/>
      <c r="Q235" s="47"/>
      <c r="R235" s="47"/>
    </row>
    <row r="236" ht="14.25" customHeight="1">
      <c r="B236" s="46"/>
      <c r="L236" s="46"/>
      <c r="M236" s="46"/>
      <c r="N236" s="46"/>
      <c r="O236" s="46"/>
      <c r="P236" s="47"/>
      <c r="Q236" s="47"/>
      <c r="R236" s="47"/>
    </row>
    <row r="237" ht="14.25" customHeight="1">
      <c r="B237" s="46"/>
      <c r="L237" s="46"/>
      <c r="M237" s="46"/>
      <c r="N237" s="46"/>
      <c r="O237" s="46"/>
      <c r="P237" s="47"/>
      <c r="Q237" s="47"/>
      <c r="R237" s="47"/>
    </row>
    <row r="238" ht="14.25" customHeight="1">
      <c r="B238" s="46"/>
      <c r="L238" s="46"/>
      <c r="M238" s="46"/>
      <c r="N238" s="46"/>
      <c r="O238" s="46"/>
      <c r="P238" s="47"/>
      <c r="Q238" s="47"/>
      <c r="R238" s="47"/>
    </row>
    <row r="239" ht="14.25" customHeight="1">
      <c r="B239" s="46"/>
      <c r="L239" s="46"/>
      <c r="M239" s="46"/>
      <c r="N239" s="46"/>
      <c r="O239" s="46"/>
      <c r="P239" s="47"/>
      <c r="Q239" s="47"/>
      <c r="R239" s="47"/>
    </row>
    <row r="240" ht="14.25" customHeight="1">
      <c r="B240" s="46"/>
      <c r="L240" s="46"/>
      <c r="M240" s="46"/>
      <c r="N240" s="46"/>
      <c r="O240" s="46"/>
      <c r="P240" s="47"/>
      <c r="Q240" s="47"/>
      <c r="R240" s="47"/>
    </row>
    <row r="241" ht="14.25" customHeight="1">
      <c r="B241" s="46"/>
      <c r="L241" s="46"/>
      <c r="M241" s="46"/>
      <c r="N241" s="46"/>
      <c r="O241" s="46"/>
      <c r="P241" s="47"/>
      <c r="Q241" s="47"/>
      <c r="R241" s="47"/>
    </row>
    <row r="242" ht="14.25" customHeight="1">
      <c r="B242" s="46"/>
      <c r="L242" s="46"/>
      <c r="M242" s="46"/>
      <c r="N242" s="46"/>
      <c r="O242" s="46"/>
      <c r="P242" s="47"/>
      <c r="Q242" s="47"/>
      <c r="R242" s="47"/>
    </row>
    <row r="243" ht="14.25" customHeight="1">
      <c r="B243" s="46"/>
      <c r="L243" s="46"/>
      <c r="M243" s="46"/>
      <c r="N243" s="46"/>
      <c r="O243" s="46"/>
      <c r="P243" s="47"/>
      <c r="Q243" s="47"/>
      <c r="R243" s="47"/>
    </row>
    <row r="244" ht="14.25" customHeight="1">
      <c r="B244" s="46"/>
      <c r="L244" s="46"/>
      <c r="M244" s="46"/>
      <c r="N244" s="46"/>
      <c r="O244" s="46"/>
      <c r="P244" s="47"/>
      <c r="Q244" s="47"/>
      <c r="R244" s="47"/>
    </row>
    <row r="245" ht="14.25" customHeight="1">
      <c r="B245" s="46"/>
      <c r="L245" s="46"/>
      <c r="M245" s="46"/>
      <c r="N245" s="46"/>
      <c r="O245" s="46"/>
      <c r="P245" s="47"/>
      <c r="Q245" s="47"/>
      <c r="R245" s="47"/>
    </row>
    <row r="246" ht="14.25" customHeight="1">
      <c r="B246" s="46"/>
      <c r="L246" s="46"/>
      <c r="M246" s="46"/>
      <c r="N246" s="46"/>
      <c r="O246" s="46"/>
      <c r="P246" s="47"/>
      <c r="Q246" s="47"/>
      <c r="R246" s="47"/>
    </row>
    <row r="247" ht="14.25" customHeight="1">
      <c r="B247" s="46"/>
      <c r="L247" s="46"/>
      <c r="M247" s="46"/>
      <c r="N247" s="46"/>
      <c r="O247" s="46"/>
      <c r="P247" s="47"/>
      <c r="Q247" s="47"/>
      <c r="R247" s="47"/>
    </row>
    <row r="248" ht="14.25" customHeight="1">
      <c r="B248" s="46"/>
      <c r="L248" s="46"/>
      <c r="M248" s="46"/>
      <c r="N248" s="46"/>
      <c r="O248" s="46"/>
      <c r="P248" s="47"/>
      <c r="Q248" s="47"/>
      <c r="R248" s="47"/>
    </row>
    <row r="249" ht="14.25" customHeight="1">
      <c r="B249" s="46"/>
      <c r="L249" s="46"/>
      <c r="M249" s="46"/>
      <c r="N249" s="46"/>
      <c r="O249" s="46"/>
      <c r="P249" s="47"/>
      <c r="Q249" s="47"/>
      <c r="R249" s="47"/>
    </row>
    <row r="250" ht="14.25" customHeight="1">
      <c r="B250" s="46"/>
      <c r="L250" s="46"/>
      <c r="M250" s="46"/>
      <c r="N250" s="46"/>
      <c r="O250" s="46"/>
      <c r="P250" s="47"/>
      <c r="Q250" s="47"/>
      <c r="R250" s="47"/>
    </row>
    <row r="251" ht="14.25" customHeight="1">
      <c r="B251" s="46"/>
      <c r="L251" s="46"/>
      <c r="M251" s="46"/>
      <c r="N251" s="46"/>
      <c r="O251" s="46"/>
      <c r="P251" s="47"/>
      <c r="Q251" s="47"/>
      <c r="R251" s="47"/>
    </row>
    <row r="252" ht="14.25" customHeight="1">
      <c r="B252" s="46"/>
      <c r="L252" s="46"/>
      <c r="M252" s="46"/>
      <c r="N252" s="46"/>
      <c r="O252" s="46"/>
      <c r="P252" s="47"/>
      <c r="Q252" s="47"/>
      <c r="R252" s="47"/>
    </row>
    <row r="253" ht="14.25" customHeight="1">
      <c r="B253" s="46"/>
      <c r="L253" s="46"/>
      <c r="M253" s="46"/>
      <c r="N253" s="46"/>
      <c r="O253" s="46"/>
      <c r="P253" s="47"/>
      <c r="Q253" s="47"/>
      <c r="R253" s="47"/>
    </row>
    <row r="254" ht="14.25" customHeight="1">
      <c r="B254" s="46"/>
      <c r="L254" s="46"/>
      <c r="M254" s="46"/>
      <c r="N254" s="46"/>
      <c r="O254" s="46"/>
      <c r="P254" s="47"/>
      <c r="Q254" s="47"/>
      <c r="R254" s="47"/>
    </row>
    <row r="255" ht="14.25" customHeight="1">
      <c r="B255" s="46"/>
      <c r="L255" s="46"/>
      <c r="M255" s="46"/>
      <c r="N255" s="46"/>
      <c r="O255" s="46"/>
      <c r="P255" s="47"/>
      <c r="Q255" s="47"/>
      <c r="R255" s="47"/>
    </row>
    <row r="256" ht="14.25" customHeight="1">
      <c r="B256" s="46"/>
      <c r="L256" s="46"/>
      <c r="M256" s="46"/>
      <c r="N256" s="46"/>
      <c r="O256" s="46"/>
      <c r="P256" s="47"/>
      <c r="Q256" s="47"/>
      <c r="R256" s="47"/>
    </row>
    <row r="257" ht="14.25" customHeight="1">
      <c r="B257" s="46"/>
      <c r="L257" s="46"/>
      <c r="M257" s="46"/>
      <c r="N257" s="46"/>
      <c r="O257" s="46"/>
      <c r="P257" s="47"/>
      <c r="Q257" s="47"/>
      <c r="R257" s="47"/>
    </row>
    <row r="258" ht="14.25" customHeight="1">
      <c r="B258" s="46"/>
      <c r="L258" s="46"/>
      <c r="M258" s="46"/>
      <c r="N258" s="46"/>
      <c r="O258" s="46"/>
      <c r="P258" s="47"/>
      <c r="Q258" s="47"/>
      <c r="R258" s="47"/>
    </row>
    <row r="259" ht="14.25" customHeight="1">
      <c r="B259" s="46"/>
      <c r="L259" s="46"/>
      <c r="M259" s="46"/>
      <c r="N259" s="46"/>
      <c r="O259" s="46"/>
      <c r="P259" s="47"/>
      <c r="Q259" s="47"/>
      <c r="R259" s="47"/>
    </row>
    <row r="260" ht="14.25" customHeight="1">
      <c r="B260" s="46"/>
      <c r="L260" s="46"/>
      <c r="M260" s="46"/>
      <c r="N260" s="46"/>
      <c r="O260" s="46"/>
      <c r="P260" s="47"/>
      <c r="Q260" s="47"/>
      <c r="R260" s="47"/>
    </row>
    <row r="261" ht="14.25" customHeight="1">
      <c r="B261" s="46"/>
      <c r="L261" s="46"/>
      <c r="M261" s="46"/>
      <c r="N261" s="46"/>
      <c r="O261" s="46"/>
      <c r="P261" s="47"/>
      <c r="Q261" s="47"/>
      <c r="R261" s="47"/>
    </row>
    <row r="262" ht="14.25" customHeight="1">
      <c r="B262" s="46"/>
      <c r="L262" s="46"/>
      <c r="M262" s="46"/>
      <c r="N262" s="46"/>
      <c r="O262" s="46"/>
      <c r="P262" s="47"/>
      <c r="Q262" s="47"/>
      <c r="R262" s="47"/>
    </row>
    <row r="263" ht="14.25" customHeight="1">
      <c r="B263" s="46"/>
      <c r="L263" s="46"/>
      <c r="M263" s="46"/>
      <c r="N263" s="46"/>
      <c r="O263" s="46"/>
      <c r="P263" s="47"/>
      <c r="Q263" s="47"/>
      <c r="R263" s="47"/>
    </row>
    <row r="264" ht="14.25" customHeight="1">
      <c r="B264" s="46"/>
      <c r="L264" s="46"/>
      <c r="M264" s="46"/>
      <c r="N264" s="46"/>
      <c r="O264" s="46"/>
      <c r="P264" s="47"/>
      <c r="Q264" s="47"/>
      <c r="R264" s="47"/>
    </row>
    <row r="265" ht="14.25" customHeight="1">
      <c r="B265" s="46"/>
      <c r="L265" s="46"/>
      <c r="M265" s="46"/>
      <c r="N265" s="46"/>
      <c r="O265" s="46"/>
      <c r="P265" s="47"/>
      <c r="Q265" s="47"/>
      <c r="R265" s="47"/>
    </row>
    <row r="266" ht="14.25" customHeight="1">
      <c r="B266" s="46"/>
      <c r="L266" s="46"/>
      <c r="M266" s="46"/>
      <c r="N266" s="46"/>
      <c r="O266" s="46"/>
      <c r="P266" s="47"/>
      <c r="Q266" s="47"/>
      <c r="R266" s="47"/>
    </row>
    <row r="267" ht="14.25" customHeight="1">
      <c r="B267" s="46"/>
      <c r="L267" s="46"/>
      <c r="M267" s="46"/>
      <c r="N267" s="46"/>
      <c r="O267" s="46"/>
      <c r="P267" s="47"/>
      <c r="Q267" s="47"/>
      <c r="R267" s="47"/>
    </row>
    <row r="268" ht="14.25" customHeight="1">
      <c r="B268" s="46"/>
      <c r="L268" s="46"/>
      <c r="M268" s="46"/>
      <c r="N268" s="46"/>
      <c r="O268" s="46"/>
      <c r="P268" s="47"/>
      <c r="Q268" s="47"/>
      <c r="R268" s="47"/>
    </row>
    <row r="269" ht="14.25" customHeight="1">
      <c r="B269" s="46"/>
      <c r="L269" s="46"/>
      <c r="M269" s="46"/>
      <c r="N269" s="46"/>
      <c r="O269" s="46"/>
      <c r="P269" s="47"/>
      <c r="Q269" s="47"/>
      <c r="R269" s="47"/>
    </row>
    <row r="270" ht="14.25" customHeight="1">
      <c r="B270" s="46"/>
      <c r="L270" s="46"/>
      <c r="M270" s="46"/>
      <c r="N270" s="46"/>
      <c r="O270" s="46"/>
      <c r="P270" s="47"/>
      <c r="Q270" s="47"/>
      <c r="R270" s="47"/>
    </row>
    <row r="271" ht="14.25" customHeight="1">
      <c r="B271" s="46"/>
      <c r="L271" s="46"/>
      <c r="M271" s="46"/>
      <c r="N271" s="46"/>
      <c r="O271" s="46"/>
      <c r="P271" s="47"/>
      <c r="Q271" s="47"/>
      <c r="R271" s="47"/>
    </row>
    <row r="272" ht="14.25" customHeight="1">
      <c r="B272" s="46"/>
      <c r="L272" s="46"/>
      <c r="M272" s="46"/>
      <c r="N272" s="46"/>
      <c r="O272" s="46"/>
      <c r="P272" s="47"/>
      <c r="Q272" s="47"/>
      <c r="R272" s="47"/>
    </row>
    <row r="273" ht="14.25" customHeight="1">
      <c r="B273" s="46"/>
      <c r="L273" s="46"/>
      <c r="M273" s="46"/>
      <c r="N273" s="46"/>
      <c r="O273" s="46"/>
      <c r="P273" s="47"/>
      <c r="Q273" s="47"/>
      <c r="R273" s="47"/>
    </row>
    <row r="274" ht="14.25" customHeight="1">
      <c r="B274" s="46"/>
      <c r="L274" s="46"/>
      <c r="M274" s="46"/>
      <c r="N274" s="46"/>
      <c r="O274" s="46"/>
      <c r="P274" s="47"/>
      <c r="Q274" s="47"/>
      <c r="R274" s="47"/>
    </row>
    <row r="275" ht="14.25" customHeight="1">
      <c r="B275" s="46"/>
      <c r="L275" s="46"/>
      <c r="M275" s="46"/>
      <c r="N275" s="46"/>
      <c r="O275" s="46"/>
      <c r="P275" s="47"/>
      <c r="Q275" s="47"/>
      <c r="R275" s="47"/>
    </row>
    <row r="276" ht="14.25" customHeight="1">
      <c r="B276" s="46"/>
      <c r="L276" s="46"/>
      <c r="M276" s="46"/>
      <c r="N276" s="46"/>
      <c r="O276" s="46"/>
      <c r="P276" s="47"/>
      <c r="Q276" s="47"/>
      <c r="R276" s="47"/>
    </row>
    <row r="277" ht="14.25" customHeight="1">
      <c r="B277" s="46"/>
      <c r="L277" s="46"/>
      <c r="M277" s="46"/>
      <c r="N277" s="46"/>
      <c r="O277" s="46"/>
      <c r="P277" s="47"/>
      <c r="Q277" s="47"/>
      <c r="R277" s="47"/>
    </row>
    <row r="278" ht="14.25" customHeight="1">
      <c r="B278" s="46"/>
      <c r="L278" s="46"/>
      <c r="M278" s="46"/>
      <c r="N278" s="46"/>
      <c r="O278" s="46"/>
      <c r="P278" s="47"/>
      <c r="Q278" s="47"/>
      <c r="R278" s="47"/>
    </row>
    <row r="279" ht="14.25" customHeight="1">
      <c r="B279" s="46"/>
      <c r="L279" s="46"/>
      <c r="M279" s="46"/>
      <c r="N279" s="46"/>
      <c r="O279" s="46"/>
      <c r="P279" s="47"/>
      <c r="Q279" s="47"/>
      <c r="R279" s="47"/>
    </row>
    <row r="280" ht="14.25" customHeight="1">
      <c r="B280" s="46"/>
      <c r="L280" s="46"/>
      <c r="M280" s="46"/>
      <c r="N280" s="46"/>
      <c r="O280" s="46"/>
      <c r="P280" s="47"/>
      <c r="Q280" s="47"/>
      <c r="R280" s="47"/>
    </row>
    <row r="281" ht="14.25" customHeight="1">
      <c r="B281" s="46"/>
      <c r="L281" s="46"/>
      <c r="M281" s="46"/>
      <c r="N281" s="46"/>
      <c r="O281" s="46"/>
      <c r="P281" s="47"/>
      <c r="Q281" s="47"/>
      <c r="R281" s="47"/>
    </row>
    <row r="282" ht="14.25" customHeight="1">
      <c r="B282" s="46"/>
      <c r="L282" s="46"/>
      <c r="M282" s="46"/>
      <c r="N282" s="46"/>
      <c r="O282" s="46"/>
      <c r="P282" s="47"/>
      <c r="Q282" s="47"/>
      <c r="R282" s="47"/>
    </row>
    <row r="283" ht="14.25" customHeight="1">
      <c r="B283" s="46"/>
      <c r="L283" s="46"/>
      <c r="M283" s="46"/>
      <c r="N283" s="46"/>
      <c r="O283" s="46"/>
      <c r="P283" s="47"/>
      <c r="Q283" s="47"/>
      <c r="R283" s="47"/>
    </row>
    <row r="284" ht="14.25" customHeight="1">
      <c r="B284" s="46"/>
      <c r="L284" s="46"/>
      <c r="M284" s="46"/>
      <c r="N284" s="46"/>
      <c r="O284" s="46"/>
      <c r="P284" s="47"/>
      <c r="Q284" s="47"/>
      <c r="R284" s="47"/>
    </row>
    <row r="285" ht="14.25" customHeight="1">
      <c r="B285" s="46"/>
      <c r="L285" s="46"/>
      <c r="M285" s="46"/>
      <c r="N285" s="46"/>
      <c r="O285" s="46"/>
      <c r="P285" s="47"/>
      <c r="Q285" s="47"/>
      <c r="R285" s="47"/>
    </row>
    <row r="286" ht="14.25" customHeight="1">
      <c r="B286" s="46"/>
      <c r="L286" s="46"/>
      <c r="M286" s="46"/>
      <c r="N286" s="46"/>
      <c r="O286" s="46"/>
      <c r="P286" s="47"/>
      <c r="Q286" s="47"/>
      <c r="R286" s="47"/>
    </row>
    <row r="287" ht="14.25" customHeight="1">
      <c r="B287" s="46"/>
      <c r="L287" s="46"/>
      <c r="M287" s="46"/>
      <c r="N287" s="46"/>
      <c r="O287" s="46"/>
      <c r="P287" s="47"/>
      <c r="Q287" s="47"/>
      <c r="R287" s="47"/>
    </row>
    <row r="288" ht="14.25" customHeight="1">
      <c r="B288" s="46"/>
      <c r="L288" s="46"/>
      <c r="M288" s="46"/>
      <c r="N288" s="46"/>
      <c r="O288" s="46"/>
      <c r="P288" s="47"/>
      <c r="Q288" s="47"/>
      <c r="R288" s="47"/>
    </row>
    <row r="289" ht="14.25" customHeight="1">
      <c r="B289" s="46"/>
      <c r="L289" s="46"/>
      <c r="M289" s="46"/>
      <c r="N289" s="46"/>
      <c r="O289" s="46"/>
      <c r="P289" s="47"/>
      <c r="Q289" s="47"/>
      <c r="R289" s="47"/>
    </row>
    <row r="290" ht="14.25" customHeight="1">
      <c r="B290" s="46"/>
      <c r="L290" s="46"/>
      <c r="M290" s="46"/>
      <c r="N290" s="46"/>
      <c r="O290" s="46"/>
      <c r="P290" s="47"/>
      <c r="Q290" s="47"/>
      <c r="R290" s="47"/>
    </row>
    <row r="291" ht="14.25" customHeight="1">
      <c r="B291" s="46"/>
      <c r="L291" s="46"/>
      <c r="M291" s="46"/>
      <c r="N291" s="46"/>
      <c r="O291" s="46"/>
      <c r="P291" s="47"/>
      <c r="Q291" s="47"/>
      <c r="R291" s="47"/>
    </row>
    <row r="292" ht="14.25" customHeight="1">
      <c r="B292" s="46"/>
      <c r="L292" s="46"/>
      <c r="M292" s="46"/>
      <c r="N292" s="46"/>
      <c r="O292" s="46"/>
      <c r="P292" s="47"/>
      <c r="Q292" s="47"/>
      <c r="R292" s="47"/>
    </row>
    <row r="293" ht="14.25" customHeight="1">
      <c r="B293" s="46"/>
      <c r="L293" s="46"/>
      <c r="M293" s="46"/>
      <c r="N293" s="46"/>
      <c r="O293" s="46"/>
      <c r="P293" s="47"/>
      <c r="Q293" s="47"/>
      <c r="R293" s="47"/>
    </row>
    <row r="294" ht="14.25" customHeight="1">
      <c r="B294" s="46"/>
      <c r="L294" s="46"/>
      <c r="M294" s="46"/>
      <c r="N294" s="46"/>
      <c r="O294" s="46"/>
      <c r="P294" s="47"/>
      <c r="Q294" s="47"/>
      <c r="R294" s="47"/>
    </row>
    <row r="295" ht="14.25" customHeight="1">
      <c r="B295" s="46"/>
      <c r="L295" s="46"/>
      <c r="M295" s="46"/>
      <c r="N295" s="46"/>
      <c r="O295" s="46"/>
      <c r="P295" s="47"/>
      <c r="Q295" s="47"/>
      <c r="R295" s="47"/>
    </row>
    <row r="296" ht="14.25" customHeight="1">
      <c r="B296" s="46"/>
      <c r="L296" s="46"/>
      <c r="M296" s="46"/>
      <c r="N296" s="46"/>
      <c r="O296" s="46"/>
      <c r="P296" s="47"/>
      <c r="Q296" s="47"/>
      <c r="R296" s="47"/>
    </row>
    <row r="297" ht="14.25" customHeight="1">
      <c r="B297" s="46"/>
      <c r="L297" s="46"/>
      <c r="M297" s="46"/>
      <c r="N297" s="46"/>
      <c r="O297" s="46"/>
      <c r="P297" s="47"/>
      <c r="Q297" s="47"/>
      <c r="R297" s="47"/>
    </row>
    <row r="298" ht="14.25" customHeight="1">
      <c r="B298" s="46"/>
      <c r="L298" s="46"/>
      <c r="M298" s="46"/>
      <c r="N298" s="46"/>
      <c r="O298" s="46"/>
      <c r="P298" s="47"/>
      <c r="Q298" s="47"/>
      <c r="R298" s="47"/>
    </row>
    <row r="299" ht="14.25" customHeight="1">
      <c r="B299" s="46"/>
      <c r="L299" s="46"/>
      <c r="M299" s="46"/>
      <c r="N299" s="46"/>
      <c r="O299" s="46"/>
      <c r="P299" s="47"/>
      <c r="Q299" s="47"/>
      <c r="R299" s="47"/>
    </row>
    <row r="300" ht="14.25" customHeight="1">
      <c r="B300" s="46"/>
      <c r="L300" s="46"/>
      <c r="M300" s="46"/>
      <c r="N300" s="46"/>
      <c r="O300" s="46"/>
      <c r="P300" s="47"/>
      <c r="Q300" s="47"/>
      <c r="R300" s="47"/>
    </row>
    <row r="301" ht="14.25" customHeight="1">
      <c r="B301" s="46"/>
      <c r="L301" s="46"/>
      <c r="M301" s="46"/>
      <c r="N301" s="46"/>
      <c r="O301" s="46"/>
      <c r="P301" s="47"/>
      <c r="Q301" s="47"/>
      <c r="R301" s="47"/>
    </row>
    <row r="302" ht="14.25" customHeight="1">
      <c r="B302" s="46"/>
      <c r="L302" s="46"/>
      <c r="M302" s="46"/>
      <c r="N302" s="46"/>
      <c r="O302" s="46"/>
      <c r="P302" s="47"/>
      <c r="Q302" s="47"/>
      <c r="R302" s="47"/>
    </row>
    <row r="303" ht="14.25" customHeight="1">
      <c r="B303" s="46"/>
      <c r="L303" s="46"/>
      <c r="M303" s="46"/>
      <c r="N303" s="46"/>
      <c r="O303" s="46"/>
      <c r="P303" s="47"/>
      <c r="Q303" s="47"/>
      <c r="R303" s="47"/>
    </row>
    <row r="304" ht="14.25" customHeight="1">
      <c r="B304" s="46"/>
      <c r="L304" s="46"/>
      <c r="M304" s="46"/>
      <c r="N304" s="46"/>
      <c r="O304" s="46"/>
      <c r="P304" s="47"/>
      <c r="Q304" s="47"/>
      <c r="R304" s="47"/>
    </row>
    <row r="305" ht="14.25" customHeight="1">
      <c r="B305" s="46"/>
      <c r="L305" s="46"/>
      <c r="M305" s="46"/>
      <c r="N305" s="46"/>
      <c r="O305" s="46"/>
      <c r="P305" s="47"/>
      <c r="Q305" s="47"/>
      <c r="R305" s="47"/>
    </row>
    <row r="306" ht="14.25" customHeight="1">
      <c r="B306" s="46"/>
      <c r="L306" s="46"/>
      <c r="M306" s="46"/>
      <c r="N306" s="46"/>
      <c r="O306" s="46"/>
      <c r="P306" s="47"/>
      <c r="Q306" s="47"/>
      <c r="R306" s="47"/>
    </row>
    <row r="307" ht="14.25" customHeight="1">
      <c r="B307" s="46"/>
      <c r="L307" s="46"/>
      <c r="M307" s="46"/>
      <c r="N307" s="46"/>
      <c r="O307" s="46"/>
      <c r="P307" s="47"/>
      <c r="Q307" s="47"/>
      <c r="R307" s="47"/>
    </row>
    <row r="308" ht="14.25" customHeight="1">
      <c r="B308" s="46"/>
      <c r="L308" s="46"/>
      <c r="M308" s="46"/>
      <c r="N308" s="46"/>
      <c r="O308" s="46"/>
      <c r="P308" s="47"/>
      <c r="Q308" s="47"/>
      <c r="R308" s="47"/>
    </row>
    <row r="309" ht="14.25" customHeight="1">
      <c r="B309" s="46"/>
      <c r="L309" s="46"/>
      <c r="M309" s="46"/>
      <c r="N309" s="46"/>
      <c r="O309" s="46"/>
      <c r="P309" s="47"/>
      <c r="Q309" s="47"/>
      <c r="R309" s="47"/>
    </row>
    <row r="310" ht="14.25" customHeight="1">
      <c r="B310" s="46"/>
      <c r="L310" s="46"/>
      <c r="M310" s="46"/>
      <c r="N310" s="46"/>
      <c r="O310" s="46"/>
      <c r="P310" s="47"/>
      <c r="Q310" s="47"/>
      <c r="R310" s="47"/>
    </row>
    <row r="311" ht="14.25" customHeight="1">
      <c r="B311" s="46"/>
      <c r="L311" s="46"/>
      <c r="M311" s="46"/>
      <c r="N311" s="46"/>
      <c r="O311" s="46"/>
      <c r="P311" s="47"/>
      <c r="Q311" s="47"/>
      <c r="R311" s="47"/>
    </row>
    <row r="312" ht="14.25" customHeight="1">
      <c r="B312" s="46"/>
      <c r="L312" s="46"/>
      <c r="M312" s="46"/>
      <c r="N312" s="46"/>
      <c r="O312" s="46"/>
      <c r="P312" s="47"/>
      <c r="Q312" s="47"/>
      <c r="R312" s="47"/>
    </row>
    <row r="313" ht="14.25" customHeight="1">
      <c r="B313" s="46"/>
      <c r="L313" s="46"/>
      <c r="M313" s="46"/>
      <c r="N313" s="46"/>
      <c r="O313" s="46"/>
      <c r="P313" s="47"/>
      <c r="Q313" s="47"/>
      <c r="R313" s="47"/>
    </row>
    <row r="314" ht="14.25" customHeight="1">
      <c r="B314" s="46"/>
      <c r="L314" s="46"/>
      <c r="M314" s="46"/>
      <c r="N314" s="46"/>
      <c r="O314" s="46"/>
      <c r="P314" s="47"/>
      <c r="Q314" s="47"/>
      <c r="R314" s="47"/>
    </row>
    <row r="315" ht="14.25" customHeight="1">
      <c r="B315" s="46"/>
      <c r="L315" s="46"/>
      <c r="M315" s="46"/>
      <c r="N315" s="46"/>
      <c r="O315" s="46"/>
      <c r="P315" s="47"/>
      <c r="Q315" s="47"/>
      <c r="R315" s="47"/>
    </row>
    <row r="316" ht="14.25" customHeight="1">
      <c r="B316" s="46"/>
      <c r="L316" s="46"/>
      <c r="M316" s="46"/>
      <c r="N316" s="46"/>
      <c r="O316" s="46"/>
      <c r="P316" s="47"/>
      <c r="Q316" s="47"/>
      <c r="R316" s="47"/>
    </row>
    <row r="317" ht="14.25" customHeight="1">
      <c r="B317" s="46"/>
      <c r="L317" s="46"/>
      <c r="M317" s="46"/>
      <c r="N317" s="46"/>
      <c r="O317" s="46"/>
      <c r="P317" s="47"/>
      <c r="Q317" s="47"/>
      <c r="R317" s="47"/>
    </row>
    <row r="318" ht="14.25" customHeight="1">
      <c r="B318" s="46"/>
      <c r="L318" s="46"/>
      <c r="M318" s="46"/>
      <c r="N318" s="46"/>
      <c r="O318" s="46"/>
      <c r="P318" s="47"/>
      <c r="Q318" s="47"/>
      <c r="R318" s="47"/>
    </row>
    <row r="319" ht="14.25" customHeight="1">
      <c r="B319" s="46"/>
      <c r="L319" s="46"/>
      <c r="M319" s="46"/>
      <c r="N319" s="46"/>
      <c r="O319" s="46"/>
      <c r="P319" s="47"/>
      <c r="Q319" s="47"/>
      <c r="R319" s="47"/>
    </row>
    <row r="320" ht="14.25" customHeight="1">
      <c r="B320" s="46"/>
      <c r="L320" s="46"/>
      <c r="M320" s="46"/>
      <c r="N320" s="46"/>
      <c r="O320" s="46"/>
      <c r="P320" s="47"/>
      <c r="Q320" s="47"/>
      <c r="R320" s="47"/>
    </row>
    <row r="321" ht="14.25" customHeight="1">
      <c r="B321" s="46"/>
      <c r="L321" s="46"/>
      <c r="M321" s="46"/>
      <c r="N321" s="46"/>
      <c r="O321" s="46"/>
      <c r="P321" s="47"/>
      <c r="Q321" s="47"/>
      <c r="R321" s="47"/>
    </row>
    <row r="322" ht="14.25" customHeight="1">
      <c r="B322" s="46"/>
      <c r="L322" s="46"/>
      <c r="M322" s="46"/>
      <c r="N322" s="46"/>
      <c r="O322" s="46"/>
      <c r="P322" s="47"/>
      <c r="Q322" s="47"/>
      <c r="R322" s="47"/>
    </row>
    <row r="323" ht="14.25" customHeight="1">
      <c r="B323" s="46"/>
      <c r="L323" s="46"/>
      <c r="M323" s="46"/>
      <c r="N323" s="46"/>
      <c r="O323" s="46"/>
      <c r="P323" s="47"/>
      <c r="Q323" s="47"/>
      <c r="R323" s="47"/>
    </row>
    <row r="324" ht="14.25" customHeight="1">
      <c r="B324" s="46"/>
      <c r="L324" s="46"/>
      <c r="M324" s="46"/>
      <c r="N324" s="46"/>
      <c r="O324" s="46"/>
      <c r="P324" s="47"/>
      <c r="Q324" s="47"/>
      <c r="R324" s="47"/>
    </row>
    <row r="325" ht="14.25" customHeight="1">
      <c r="B325" s="46"/>
      <c r="L325" s="46"/>
      <c r="M325" s="46"/>
      <c r="N325" s="46"/>
      <c r="O325" s="46"/>
      <c r="P325" s="47"/>
      <c r="Q325" s="47"/>
      <c r="R325" s="47"/>
    </row>
    <row r="326" ht="14.25" customHeight="1">
      <c r="B326" s="46"/>
      <c r="L326" s="46"/>
      <c r="M326" s="46"/>
      <c r="N326" s="46"/>
      <c r="O326" s="46"/>
      <c r="P326" s="47"/>
      <c r="Q326" s="47"/>
      <c r="R326" s="47"/>
    </row>
    <row r="327" ht="14.25" customHeight="1">
      <c r="B327" s="46"/>
      <c r="L327" s="46"/>
      <c r="M327" s="46"/>
      <c r="N327" s="46"/>
      <c r="O327" s="46"/>
      <c r="P327" s="47"/>
      <c r="Q327" s="47"/>
      <c r="R327" s="47"/>
    </row>
    <row r="328" ht="14.25" customHeight="1">
      <c r="B328" s="46"/>
      <c r="L328" s="46"/>
      <c r="M328" s="46"/>
      <c r="N328" s="46"/>
      <c r="O328" s="46"/>
      <c r="P328" s="47"/>
      <c r="Q328" s="47"/>
      <c r="R328" s="47"/>
    </row>
    <row r="329" ht="14.25" customHeight="1">
      <c r="B329" s="46"/>
      <c r="L329" s="46"/>
      <c r="M329" s="46"/>
      <c r="N329" s="46"/>
      <c r="O329" s="46"/>
      <c r="P329" s="47"/>
      <c r="Q329" s="47"/>
      <c r="R329" s="47"/>
    </row>
    <row r="330" ht="14.25" customHeight="1">
      <c r="B330" s="46"/>
      <c r="L330" s="46"/>
      <c r="M330" s="46"/>
      <c r="N330" s="46"/>
      <c r="O330" s="46"/>
      <c r="P330" s="47"/>
      <c r="Q330" s="47"/>
      <c r="R330" s="47"/>
    </row>
    <row r="331" ht="14.25" customHeight="1">
      <c r="B331" s="46"/>
      <c r="L331" s="46"/>
      <c r="M331" s="46"/>
      <c r="N331" s="46"/>
      <c r="O331" s="46"/>
      <c r="P331" s="47"/>
      <c r="Q331" s="47"/>
      <c r="R331" s="47"/>
    </row>
    <row r="332" ht="14.25" customHeight="1">
      <c r="B332" s="46"/>
      <c r="L332" s="46"/>
      <c r="M332" s="46"/>
      <c r="N332" s="46"/>
      <c r="O332" s="46"/>
      <c r="P332" s="47"/>
      <c r="Q332" s="47"/>
      <c r="R332" s="47"/>
    </row>
    <row r="333" ht="14.25" customHeight="1">
      <c r="B333" s="46"/>
      <c r="L333" s="46"/>
      <c r="M333" s="46"/>
      <c r="N333" s="46"/>
      <c r="O333" s="46"/>
      <c r="P333" s="47"/>
      <c r="Q333" s="47"/>
      <c r="R333" s="47"/>
    </row>
    <row r="334" ht="14.25" customHeight="1">
      <c r="B334" s="46"/>
      <c r="L334" s="46"/>
      <c r="M334" s="46"/>
      <c r="N334" s="46"/>
      <c r="O334" s="46"/>
      <c r="P334" s="47"/>
      <c r="Q334" s="47"/>
      <c r="R334" s="47"/>
    </row>
    <row r="335" ht="14.25" customHeight="1">
      <c r="B335" s="46"/>
      <c r="L335" s="46"/>
      <c r="M335" s="46"/>
      <c r="N335" s="46"/>
      <c r="O335" s="46"/>
      <c r="P335" s="47"/>
      <c r="Q335" s="47"/>
      <c r="R335" s="47"/>
    </row>
    <row r="336" ht="14.25" customHeight="1">
      <c r="B336" s="46"/>
      <c r="L336" s="46"/>
      <c r="M336" s="46"/>
      <c r="N336" s="46"/>
      <c r="O336" s="46"/>
      <c r="P336" s="47"/>
      <c r="Q336" s="47"/>
      <c r="R336" s="47"/>
    </row>
    <row r="337" ht="14.25" customHeight="1">
      <c r="B337" s="46"/>
      <c r="L337" s="46"/>
      <c r="M337" s="46"/>
      <c r="N337" s="46"/>
      <c r="O337" s="46"/>
      <c r="P337" s="47"/>
      <c r="Q337" s="47"/>
      <c r="R337" s="47"/>
    </row>
    <row r="338" ht="14.25" customHeight="1">
      <c r="B338" s="46"/>
      <c r="L338" s="46"/>
      <c r="M338" s="46"/>
      <c r="N338" s="46"/>
      <c r="O338" s="46"/>
      <c r="P338" s="47"/>
      <c r="Q338" s="47"/>
      <c r="R338" s="47"/>
    </row>
    <row r="339" ht="14.25" customHeight="1">
      <c r="B339" s="46"/>
      <c r="L339" s="46"/>
      <c r="M339" s="46"/>
      <c r="N339" s="46"/>
      <c r="O339" s="46"/>
      <c r="P339" s="47"/>
      <c r="Q339" s="47"/>
      <c r="R339" s="47"/>
    </row>
    <row r="340" ht="14.25" customHeight="1">
      <c r="B340" s="46"/>
      <c r="L340" s="46"/>
      <c r="M340" s="46"/>
      <c r="N340" s="46"/>
      <c r="O340" s="46"/>
      <c r="P340" s="47"/>
      <c r="Q340" s="47"/>
      <c r="R340" s="47"/>
    </row>
    <row r="341" ht="14.25" customHeight="1">
      <c r="B341" s="46"/>
      <c r="L341" s="46"/>
      <c r="M341" s="46"/>
      <c r="N341" s="46"/>
      <c r="O341" s="46"/>
      <c r="P341" s="47"/>
      <c r="Q341" s="47"/>
      <c r="R341" s="47"/>
    </row>
    <row r="342" ht="14.25" customHeight="1">
      <c r="B342" s="46"/>
      <c r="L342" s="46"/>
      <c r="M342" s="46"/>
      <c r="N342" s="46"/>
      <c r="O342" s="46"/>
      <c r="P342" s="47"/>
      <c r="Q342" s="47"/>
      <c r="R342" s="47"/>
    </row>
    <row r="343" ht="14.25" customHeight="1">
      <c r="B343" s="46"/>
      <c r="L343" s="46"/>
      <c r="M343" s="46"/>
      <c r="N343" s="46"/>
      <c r="O343" s="46"/>
      <c r="P343" s="47"/>
      <c r="Q343" s="47"/>
      <c r="R343" s="47"/>
    </row>
    <row r="344" ht="14.25" customHeight="1">
      <c r="B344" s="46"/>
      <c r="L344" s="46"/>
      <c r="M344" s="46"/>
      <c r="N344" s="46"/>
      <c r="O344" s="46"/>
      <c r="P344" s="47"/>
      <c r="Q344" s="47"/>
      <c r="R344" s="47"/>
    </row>
    <row r="345" ht="14.25" customHeight="1">
      <c r="B345" s="46"/>
      <c r="L345" s="46"/>
      <c r="M345" s="46"/>
      <c r="N345" s="46"/>
      <c r="O345" s="46"/>
      <c r="P345" s="47"/>
      <c r="Q345" s="47"/>
      <c r="R345" s="47"/>
    </row>
    <row r="346" ht="14.25" customHeight="1">
      <c r="B346" s="46"/>
      <c r="L346" s="46"/>
      <c r="M346" s="46"/>
      <c r="N346" s="46"/>
      <c r="O346" s="46"/>
      <c r="P346" s="47"/>
      <c r="Q346" s="47"/>
      <c r="R346" s="47"/>
    </row>
    <row r="347" ht="14.25" customHeight="1">
      <c r="B347" s="46"/>
      <c r="L347" s="46"/>
      <c r="M347" s="46"/>
      <c r="N347" s="46"/>
      <c r="O347" s="46"/>
      <c r="P347" s="47"/>
      <c r="Q347" s="47"/>
      <c r="R347" s="47"/>
    </row>
    <row r="348" ht="14.25" customHeight="1">
      <c r="B348" s="46"/>
      <c r="L348" s="46"/>
      <c r="M348" s="46"/>
      <c r="N348" s="46"/>
      <c r="O348" s="46"/>
      <c r="P348" s="47"/>
      <c r="Q348" s="47"/>
      <c r="R348" s="47"/>
    </row>
    <row r="349" ht="14.25" customHeight="1">
      <c r="B349" s="46"/>
      <c r="L349" s="46"/>
      <c r="M349" s="46"/>
      <c r="N349" s="46"/>
      <c r="O349" s="46"/>
      <c r="P349" s="47"/>
      <c r="Q349" s="47"/>
      <c r="R349" s="47"/>
    </row>
    <row r="350" ht="14.25" customHeight="1">
      <c r="B350" s="46"/>
      <c r="L350" s="46"/>
      <c r="M350" s="46"/>
      <c r="N350" s="46"/>
      <c r="O350" s="46"/>
      <c r="P350" s="47"/>
      <c r="Q350" s="47"/>
      <c r="R350" s="47"/>
    </row>
    <row r="351" ht="14.25" customHeight="1">
      <c r="B351" s="46"/>
      <c r="L351" s="46"/>
      <c r="M351" s="46"/>
      <c r="N351" s="46"/>
      <c r="O351" s="46"/>
      <c r="P351" s="47"/>
      <c r="Q351" s="47"/>
      <c r="R351" s="47"/>
    </row>
    <row r="352" ht="14.25" customHeight="1">
      <c r="B352" s="46"/>
      <c r="L352" s="46"/>
      <c r="M352" s="46"/>
      <c r="N352" s="46"/>
      <c r="O352" s="46"/>
      <c r="P352" s="47"/>
      <c r="Q352" s="47"/>
      <c r="R352" s="47"/>
    </row>
    <row r="353" ht="14.25" customHeight="1">
      <c r="B353" s="46"/>
      <c r="L353" s="46"/>
      <c r="M353" s="46"/>
      <c r="N353" s="46"/>
      <c r="O353" s="46"/>
      <c r="P353" s="47"/>
      <c r="Q353" s="47"/>
      <c r="R353" s="47"/>
    </row>
    <row r="354" ht="14.25" customHeight="1">
      <c r="B354" s="46"/>
      <c r="L354" s="46"/>
      <c r="M354" s="46"/>
      <c r="N354" s="46"/>
      <c r="O354" s="46"/>
      <c r="P354" s="47"/>
      <c r="Q354" s="47"/>
      <c r="R354" s="47"/>
    </row>
    <row r="355" ht="14.25" customHeight="1">
      <c r="B355" s="46"/>
      <c r="L355" s="46"/>
      <c r="M355" s="46"/>
      <c r="N355" s="46"/>
      <c r="O355" s="46"/>
      <c r="P355" s="47"/>
      <c r="Q355" s="47"/>
      <c r="R355" s="47"/>
    </row>
    <row r="356" ht="14.25" customHeight="1">
      <c r="B356" s="46"/>
      <c r="L356" s="46"/>
      <c r="M356" s="46"/>
      <c r="N356" s="46"/>
      <c r="O356" s="46"/>
      <c r="P356" s="47"/>
      <c r="Q356" s="47"/>
      <c r="R356" s="47"/>
    </row>
    <row r="357" ht="14.25" customHeight="1">
      <c r="B357" s="46"/>
      <c r="L357" s="46"/>
      <c r="M357" s="46"/>
      <c r="N357" s="46"/>
      <c r="O357" s="46"/>
      <c r="P357" s="47"/>
      <c r="Q357" s="47"/>
      <c r="R357" s="47"/>
    </row>
    <row r="358" ht="14.25" customHeight="1">
      <c r="B358" s="46"/>
      <c r="L358" s="46"/>
      <c r="M358" s="46"/>
      <c r="N358" s="46"/>
      <c r="O358" s="46"/>
      <c r="P358" s="47"/>
      <c r="Q358" s="47"/>
      <c r="R358" s="47"/>
    </row>
    <row r="359" ht="14.25" customHeight="1">
      <c r="B359" s="46"/>
      <c r="L359" s="46"/>
      <c r="M359" s="46"/>
      <c r="N359" s="46"/>
      <c r="O359" s="46"/>
      <c r="P359" s="47"/>
      <c r="Q359" s="47"/>
      <c r="R359" s="47"/>
    </row>
    <row r="360" ht="14.25" customHeight="1">
      <c r="B360" s="46"/>
      <c r="L360" s="46"/>
      <c r="M360" s="46"/>
      <c r="N360" s="46"/>
      <c r="O360" s="46"/>
      <c r="P360" s="47"/>
      <c r="Q360" s="47"/>
      <c r="R360" s="47"/>
    </row>
    <row r="361" ht="14.25" customHeight="1">
      <c r="B361" s="46"/>
      <c r="L361" s="46"/>
      <c r="M361" s="46"/>
      <c r="N361" s="46"/>
      <c r="O361" s="46"/>
      <c r="P361" s="47"/>
      <c r="Q361" s="47"/>
      <c r="R361" s="47"/>
    </row>
    <row r="362" ht="14.25" customHeight="1">
      <c r="B362" s="46"/>
      <c r="L362" s="46"/>
      <c r="M362" s="46"/>
      <c r="N362" s="46"/>
      <c r="O362" s="46"/>
      <c r="P362" s="47"/>
      <c r="Q362" s="47"/>
      <c r="R362" s="47"/>
    </row>
    <row r="363" ht="14.25" customHeight="1">
      <c r="B363" s="46"/>
      <c r="L363" s="46"/>
      <c r="M363" s="46"/>
      <c r="N363" s="46"/>
      <c r="O363" s="46"/>
      <c r="P363" s="47"/>
      <c r="Q363" s="47"/>
      <c r="R363" s="47"/>
    </row>
    <row r="364" ht="14.25" customHeight="1">
      <c r="B364" s="46"/>
      <c r="L364" s="46"/>
      <c r="M364" s="46"/>
      <c r="N364" s="46"/>
      <c r="O364" s="46"/>
      <c r="P364" s="47"/>
      <c r="Q364" s="47"/>
      <c r="R364" s="47"/>
    </row>
    <row r="365" ht="14.25" customHeight="1">
      <c r="B365" s="46"/>
      <c r="L365" s="46"/>
      <c r="M365" s="46"/>
      <c r="N365" s="46"/>
      <c r="O365" s="46"/>
      <c r="P365" s="47"/>
      <c r="Q365" s="47"/>
      <c r="R365" s="47"/>
    </row>
    <row r="366" ht="14.25" customHeight="1">
      <c r="B366" s="46"/>
      <c r="L366" s="46"/>
      <c r="M366" s="46"/>
      <c r="N366" s="46"/>
      <c r="O366" s="46"/>
      <c r="P366" s="47"/>
      <c r="Q366" s="47"/>
      <c r="R366" s="47"/>
    </row>
    <row r="367" ht="14.25" customHeight="1">
      <c r="B367" s="46"/>
      <c r="L367" s="46"/>
      <c r="M367" s="46"/>
      <c r="N367" s="46"/>
      <c r="O367" s="46"/>
      <c r="P367" s="47"/>
      <c r="Q367" s="47"/>
      <c r="R367" s="47"/>
    </row>
    <row r="368" ht="14.25" customHeight="1">
      <c r="B368" s="46"/>
      <c r="L368" s="46"/>
      <c r="M368" s="46"/>
      <c r="N368" s="46"/>
      <c r="O368" s="46"/>
      <c r="P368" s="47"/>
      <c r="Q368" s="47"/>
      <c r="R368" s="47"/>
    </row>
    <row r="369" ht="14.25" customHeight="1">
      <c r="B369" s="46"/>
      <c r="L369" s="46"/>
      <c r="M369" s="46"/>
      <c r="N369" s="46"/>
      <c r="O369" s="46"/>
      <c r="P369" s="47"/>
      <c r="Q369" s="47"/>
      <c r="R369" s="47"/>
    </row>
    <row r="370" ht="14.25" customHeight="1">
      <c r="B370" s="46"/>
      <c r="L370" s="46"/>
      <c r="M370" s="46"/>
      <c r="N370" s="46"/>
      <c r="O370" s="46"/>
      <c r="P370" s="47"/>
      <c r="Q370" s="47"/>
      <c r="R370" s="47"/>
    </row>
    <row r="371" ht="14.25" customHeight="1">
      <c r="B371" s="46"/>
      <c r="L371" s="46"/>
      <c r="M371" s="46"/>
      <c r="N371" s="46"/>
      <c r="O371" s="46"/>
      <c r="P371" s="47"/>
      <c r="Q371" s="47"/>
      <c r="R371" s="47"/>
    </row>
    <row r="372" ht="14.25" customHeight="1">
      <c r="B372" s="46"/>
      <c r="L372" s="46"/>
      <c r="M372" s="46"/>
      <c r="N372" s="46"/>
      <c r="O372" s="46"/>
      <c r="P372" s="47"/>
      <c r="Q372" s="47"/>
      <c r="R372" s="47"/>
    </row>
    <row r="373" ht="14.25" customHeight="1">
      <c r="B373" s="46"/>
      <c r="L373" s="46"/>
      <c r="M373" s="46"/>
      <c r="N373" s="46"/>
      <c r="O373" s="46"/>
      <c r="P373" s="47"/>
      <c r="Q373" s="47"/>
      <c r="R373" s="47"/>
    </row>
    <row r="374" ht="14.25" customHeight="1">
      <c r="B374" s="46"/>
      <c r="L374" s="46"/>
      <c r="M374" s="46"/>
      <c r="N374" s="46"/>
      <c r="O374" s="46"/>
      <c r="P374" s="47"/>
      <c r="Q374" s="47"/>
      <c r="R374" s="47"/>
    </row>
    <row r="375" ht="14.25" customHeight="1">
      <c r="B375" s="46"/>
      <c r="L375" s="46"/>
      <c r="M375" s="46"/>
      <c r="N375" s="46"/>
      <c r="O375" s="46"/>
      <c r="P375" s="47"/>
      <c r="Q375" s="47"/>
      <c r="R375" s="47"/>
    </row>
    <row r="376" ht="14.25" customHeight="1">
      <c r="B376" s="46"/>
      <c r="L376" s="46"/>
      <c r="M376" s="46"/>
      <c r="N376" s="46"/>
      <c r="O376" s="46"/>
      <c r="P376" s="47"/>
      <c r="Q376" s="47"/>
      <c r="R376" s="47"/>
    </row>
    <row r="377" ht="14.25" customHeight="1">
      <c r="B377" s="46"/>
      <c r="L377" s="46"/>
      <c r="M377" s="46"/>
      <c r="N377" s="46"/>
      <c r="O377" s="46"/>
      <c r="P377" s="47"/>
      <c r="Q377" s="47"/>
      <c r="R377" s="47"/>
    </row>
    <row r="378" ht="14.25" customHeight="1">
      <c r="B378" s="46"/>
      <c r="L378" s="46"/>
      <c r="M378" s="46"/>
      <c r="N378" s="46"/>
      <c r="O378" s="46"/>
      <c r="P378" s="47"/>
      <c r="Q378" s="47"/>
      <c r="R378" s="47"/>
    </row>
    <row r="379" ht="14.25" customHeight="1">
      <c r="B379" s="46"/>
      <c r="L379" s="46"/>
      <c r="M379" s="46"/>
      <c r="N379" s="46"/>
      <c r="O379" s="46"/>
      <c r="P379" s="47"/>
      <c r="Q379" s="47"/>
      <c r="R379" s="47"/>
    </row>
    <row r="380" ht="14.25" customHeight="1">
      <c r="B380" s="46"/>
      <c r="L380" s="46"/>
      <c r="M380" s="46"/>
      <c r="N380" s="46"/>
      <c r="O380" s="46"/>
      <c r="P380" s="47"/>
      <c r="Q380" s="47"/>
      <c r="R380" s="47"/>
    </row>
    <row r="381" ht="14.25" customHeight="1">
      <c r="B381" s="46"/>
      <c r="L381" s="46"/>
      <c r="M381" s="46"/>
      <c r="N381" s="46"/>
      <c r="O381" s="46"/>
      <c r="P381" s="47"/>
      <c r="Q381" s="47"/>
      <c r="R381" s="47"/>
    </row>
    <row r="382" ht="14.25" customHeight="1">
      <c r="B382" s="46"/>
      <c r="L382" s="46"/>
      <c r="M382" s="46"/>
      <c r="N382" s="46"/>
      <c r="O382" s="46"/>
      <c r="P382" s="47"/>
      <c r="Q382" s="47"/>
      <c r="R382" s="47"/>
    </row>
    <row r="383" ht="14.25" customHeight="1">
      <c r="B383" s="46"/>
      <c r="L383" s="46"/>
      <c r="M383" s="46"/>
      <c r="N383" s="46"/>
      <c r="O383" s="46"/>
      <c r="P383" s="47"/>
      <c r="Q383" s="47"/>
      <c r="R383" s="47"/>
    </row>
    <row r="384" ht="14.25" customHeight="1">
      <c r="B384" s="46"/>
      <c r="L384" s="46"/>
      <c r="M384" s="46"/>
      <c r="N384" s="46"/>
      <c r="O384" s="46"/>
      <c r="P384" s="47"/>
      <c r="Q384" s="47"/>
      <c r="R384" s="47"/>
    </row>
    <row r="385" ht="14.25" customHeight="1">
      <c r="B385" s="46"/>
      <c r="L385" s="46"/>
      <c r="M385" s="46"/>
      <c r="N385" s="46"/>
      <c r="O385" s="46"/>
      <c r="P385" s="47"/>
      <c r="Q385" s="47"/>
      <c r="R385" s="47"/>
    </row>
    <row r="386" ht="14.25" customHeight="1">
      <c r="B386" s="46"/>
      <c r="L386" s="46"/>
      <c r="M386" s="46"/>
      <c r="N386" s="46"/>
      <c r="O386" s="46"/>
      <c r="P386" s="47"/>
      <c r="Q386" s="47"/>
      <c r="R386" s="47"/>
    </row>
    <row r="387" ht="14.25" customHeight="1">
      <c r="B387" s="46"/>
      <c r="L387" s="46"/>
      <c r="M387" s="46"/>
      <c r="N387" s="46"/>
      <c r="O387" s="46"/>
      <c r="P387" s="47"/>
      <c r="Q387" s="47"/>
      <c r="R387" s="47"/>
    </row>
    <row r="388" ht="14.25" customHeight="1">
      <c r="B388" s="46"/>
      <c r="L388" s="46"/>
      <c r="M388" s="46"/>
      <c r="N388" s="46"/>
      <c r="O388" s="46"/>
      <c r="P388" s="47"/>
      <c r="Q388" s="47"/>
      <c r="R388" s="47"/>
    </row>
    <row r="389" ht="14.25" customHeight="1">
      <c r="B389" s="46"/>
      <c r="L389" s="46"/>
      <c r="M389" s="46"/>
      <c r="N389" s="46"/>
      <c r="O389" s="46"/>
      <c r="P389" s="47"/>
      <c r="Q389" s="47"/>
      <c r="R389" s="47"/>
    </row>
    <row r="390" ht="14.25" customHeight="1">
      <c r="B390" s="46"/>
      <c r="L390" s="46"/>
      <c r="M390" s="46"/>
      <c r="N390" s="46"/>
      <c r="O390" s="46"/>
      <c r="P390" s="47"/>
      <c r="Q390" s="47"/>
      <c r="R390" s="47"/>
    </row>
    <row r="391" ht="14.25" customHeight="1">
      <c r="B391" s="46"/>
      <c r="L391" s="46"/>
      <c r="M391" s="46"/>
      <c r="N391" s="46"/>
      <c r="O391" s="46"/>
      <c r="P391" s="47"/>
      <c r="Q391" s="47"/>
      <c r="R391" s="47"/>
    </row>
    <row r="392" ht="14.25" customHeight="1">
      <c r="B392" s="46"/>
      <c r="L392" s="46"/>
      <c r="M392" s="46"/>
      <c r="N392" s="46"/>
      <c r="O392" s="46"/>
      <c r="P392" s="47"/>
      <c r="Q392" s="47"/>
      <c r="R392" s="47"/>
    </row>
    <row r="393" ht="14.25" customHeight="1">
      <c r="B393" s="46"/>
      <c r="L393" s="46"/>
      <c r="M393" s="46"/>
      <c r="N393" s="46"/>
      <c r="O393" s="46"/>
      <c r="P393" s="47"/>
      <c r="Q393" s="47"/>
      <c r="R393" s="47"/>
    </row>
    <row r="394" ht="14.25" customHeight="1">
      <c r="B394" s="46"/>
      <c r="L394" s="46"/>
      <c r="M394" s="46"/>
      <c r="N394" s="46"/>
      <c r="O394" s="46"/>
      <c r="P394" s="47"/>
      <c r="Q394" s="47"/>
      <c r="R394" s="47"/>
    </row>
    <row r="395" ht="14.25" customHeight="1">
      <c r="B395" s="46"/>
      <c r="L395" s="46"/>
      <c r="M395" s="46"/>
      <c r="N395" s="46"/>
      <c r="O395" s="46"/>
      <c r="P395" s="47"/>
      <c r="Q395" s="47"/>
      <c r="R395" s="47"/>
    </row>
    <row r="396" ht="14.25" customHeight="1">
      <c r="B396" s="46"/>
      <c r="L396" s="46"/>
      <c r="M396" s="46"/>
      <c r="N396" s="46"/>
      <c r="O396" s="46"/>
      <c r="P396" s="47"/>
      <c r="Q396" s="47"/>
      <c r="R396" s="47"/>
    </row>
    <row r="397" ht="14.25" customHeight="1">
      <c r="B397" s="46"/>
      <c r="L397" s="46"/>
      <c r="M397" s="46"/>
      <c r="N397" s="46"/>
      <c r="O397" s="46"/>
      <c r="P397" s="47"/>
      <c r="Q397" s="47"/>
      <c r="R397" s="47"/>
    </row>
    <row r="398" ht="14.25" customHeight="1">
      <c r="B398" s="46"/>
      <c r="L398" s="46"/>
      <c r="M398" s="46"/>
      <c r="N398" s="46"/>
      <c r="O398" s="46"/>
      <c r="P398" s="47"/>
      <c r="Q398" s="47"/>
      <c r="R398" s="47"/>
    </row>
    <row r="399" ht="14.25" customHeight="1">
      <c r="B399" s="46"/>
      <c r="L399" s="46"/>
      <c r="M399" s="46"/>
      <c r="N399" s="46"/>
      <c r="O399" s="46"/>
      <c r="P399" s="47"/>
      <c r="Q399" s="47"/>
      <c r="R399" s="47"/>
    </row>
    <row r="400" ht="14.25" customHeight="1">
      <c r="B400" s="46"/>
      <c r="L400" s="46"/>
      <c r="M400" s="46"/>
      <c r="N400" s="46"/>
      <c r="O400" s="46"/>
      <c r="P400" s="47"/>
      <c r="Q400" s="47"/>
      <c r="R400" s="47"/>
    </row>
    <row r="401" ht="14.25" customHeight="1">
      <c r="B401" s="46"/>
      <c r="L401" s="46"/>
      <c r="M401" s="46"/>
      <c r="N401" s="46"/>
      <c r="O401" s="46"/>
      <c r="P401" s="47"/>
      <c r="Q401" s="47"/>
      <c r="R401" s="47"/>
    </row>
    <row r="402" ht="14.25" customHeight="1">
      <c r="B402" s="46"/>
      <c r="L402" s="46"/>
      <c r="M402" s="46"/>
      <c r="N402" s="46"/>
      <c r="O402" s="46"/>
      <c r="P402" s="47"/>
      <c r="Q402" s="47"/>
      <c r="R402" s="47"/>
    </row>
    <row r="403" ht="14.25" customHeight="1">
      <c r="B403" s="46"/>
      <c r="L403" s="46"/>
      <c r="M403" s="46"/>
      <c r="N403" s="46"/>
      <c r="O403" s="46"/>
      <c r="P403" s="47"/>
      <c r="Q403" s="47"/>
      <c r="R403" s="47"/>
    </row>
    <row r="404" ht="14.25" customHeight="1">
      <c r="B404" s="46"/>
      <c r="L404" s="46"/>
      <c r="M404" s="46"/>
      <c r="N404" s="46"/>
      <c r="O404" s="46"/>
      <c r="P404" s="47"/>
      <c r="Q404" s="47"/>
      <c r="R404" s="47"/>
    </row>
    <row r="405" ht="14.25" customHeight="1">
      <c r="B405" s="46"/>
      <c r="L405" s="46"/>
      <c r="M405" s="46"/>
      <c r="N405" s="46"/>
      <c r="O405" s="46"/>
      <c r="P405" s="47"/>
      <c r="Q405" s="47"/>
      <c r="R405" s="47"/>
    </row>
    <row r="406" ht="14.25" customHeight="1">
      <c r="B406" s="46"/>
      <c r="L406" s="46"/>
      <c r="M406" s="46"/>
      <c r="N406" s="46"/>
      <c r="O406" s="46"/>
      <c r="P406" s="47"/>
      <c r="Q406" s="47"/>
      <c r="R406" s="47"/>
    </row>
    <row r="407" ht="14.25" customHeight="1">
      <c r="B407" s="46"/>
      <c r="L407" s="46"/>
      <c r="M407" s="46"/>
      <c r="N407" s="46"/>
      <c r="O407" s="46"/>
      <c r="P407" s="47"/>
      <c r="Q407" s="47"/>
      <c r="R407" s="47"/>
    </row>
    <row r="408" ht="14.25" customHeight="1">
      <c r="B408" s="46"/>
      <c r="L408" s="46"/>
      <c r="M408" s="46"/>
      <c r="N408" s="46"/>
      <c r="O408" s="46"/>
      <c r="P408" s="47"/>
      <c r="Q408" s="47"/>
      <c r="R408" s="47"/>
    </row>
    <row r="409" ht="14.25" customHeight="1">
      <c r="B409" s="46"/>
      <c r="L409" s="46"/>
      <c r="M409" s="46"/>
      <c r="N409" s="46"/>
      <c r="O409" s="46"/>
      <c r="P409" s="47"/>
      <c r="Q409" s="47"/>
      <c r="R409" s="47"/>
    </row>
    <row r="410" ht="14.25" customHeight="1">
      <c r="B410" s="46"/>
      <c r="L410" s="46"/>
      <c r="M410" s="46"/>
      <c r="N410" s="46"/>
      <c r="O410" s="46"/>
      <c r="P410" s="47"/>
      <c r="Q410" s="47"/>
      <c r="R410" s="47"/>
    </row>
    <row r="411" ht="14.25" customHeight="1">
      <c r="B411" s="46"/>
      <c r="L411" s="46"/>
      <c r="M411" s="46"/>
      <c r="N411" s="46"/>
      <c r="O411" s="46"/>
      <c r="P411" s="47"/>
      <c r="Q411" s="47"/>
      <c r="R411" s="47"/>
    </row>
    <row r="412" ht="14.25" customHeight="1">
      <c r="B412" s="46"/>
      <c r="L412" s="46"/>
      <c r="M412" s="46"/>
      <c r="N412" s="46"/>
      <c r="O412" s="46"/>
      <c r="P412" s="47"/>
      <c r="Q412" s="47"/>
      <c r="R412" s="47"/>
    </row>
    <row r="413" ht="14.25" customHeight="1">
      <c r="B413" s="46"/>
      <c r="L413" s="46"/>
      <c r="M413" s="46"/>
      <c r="N413" s="46"/>
      <c r="O413" s="46"/>
      <c r="P413" s="47"/>
      <c r="Q413" s="47"/>
      <c r="R413" s="47"/>
    </row>
    <row r="414" ht="14.25" customHeight="1">
      <c r="B414" s="46"/>
      <c r="L414" s="46"/>
      <c r="M414" s="46"/>
      <c r="N414" s="46"/>
      <c r="O414" s="46"/>
      <c r="P414" s="47"/>
      <c r="Q414" s="47"/>
      <c r="R414" s="47"/>
    </row>
    <row r="415" ht="14.25" customHeight="1">
      <c r="B415" s="46"/>
      <c r="L415" s="46"/>
      <c r="M415" s="46"/>
      <c r="N415" s="46"/>
      <c r="O415" s="46"/>
      <c r="P415" s="47"/>
      <c r="Q415" s="47"/>
      <c r="R415" s="47"/>
    </row>
    <row r="416" ht="14.25" customHeight="1">
      <c r="B416" s="46"/>
      <c r="L416" s="46"/>
      <c r="M416" s="46"/>
      <c r="N416" s="46"/>
      <c r="O416" s="46"/>
      <c r="P416" s="47"/>
      <c r="Q416" s="47"/>
      <c r="R416" s="47"/>
    </row>
    <row r="417" ht="14.25" customHeight="1">
      <c r="B417" s="46"/>
      <c r="L417" s="46"/>
      <c r="M417" s="46"/>
      <c r="N417" s="46"/>
      <c r="O417" s="46"/>
      <c r="P417" s="47"/>
      <c r="Q417" s="47"/>
      <c r="R417" s="47"/>
    </row>
    <row r="418" ht="14.25" customHeight="1">
      <c r="B418" s="46"/>
      <c r="L418" s="46"/>
      <c r="M418" s="46"/>
      <c r="N418" s="46"/>
      <c r="O418" s="46"/>
      <c r="P418" s="47"/>
      <c r="Q418" s="47"/>
      <c r="R418" s="47"/>
    </row>
    <row r="419" ht="14.25" customHeight="1">
      <c r="B419" s="46"/>
      <c r="L419" s="46"/>
      <c r="M419" s="46"/>
      <c r="N419" s="46"/>
      <c r="O419" s="46"/>
      <c r="P419" s="47"/>
      <c r="Q419" s="47"/>
      <c r="R419" s="47"/>
    </row>
    <row r="420" ht="14.25" customHeight="1">
      <c r="B420" s="46"/>
      <c r="L420" s="46"/>
      <c r="M420" s="46"/>
      <c r="N420" s="46"/>
      <c r="O420" s="46"/>
      <c r="P420" s="47"/>
      <c r="Q420" s="47"/>
      <c r="R420" s="47"/>
    </row>
    <row r="421" ht="14.25" customHeight="1">
      <c r="B421" s="46"/>
      <c r="L421" s="46"/>
      <c r="M421" s="46"/>
      <c r="N421" s="46"/>
      <c r="O421" s="46"/>
      <c r="P421" s="47"/>
      <c r="Q421" s="47"/>
      <c r="R421" s="47"/>
    </row>
    <row r="422" ht="14.25" customHeight="1">
      <c r="B422" s="46"/>
      <c r="L422" s="46"/>
      <c r="M422" s="46"/>
      <c r="N422" s="46"/>
      <c r="O422" s="46"/>
      <c r="P422" s="47"/>
      <c r="Q422" s="47"/>
      <c r="R422" s="47"/>
    </row>
    <row r="423" ht="14.25" customHeight="1">
      <c r="B423" s="46"/>
      <c r="L423" s="46"/>
      <c r="M423" s="46"/>
      <c r="N423" s="46"/>
      <c r="O423" s="46"/>
      <c r="P423" s="47"/>
      <c r="Q423" s="47"/>
      <c r="R423" s="47"/>
    </row>
    <row r="424" ht="14.25" customHeight="1">
      <c r="B424" s="46"/>
      <c r="L424" s="46"/>
      <c r="M424" s="46"/>
      <c r="N424" s="46"/>
      <c r="O424" s="46"/>
      <c r="P424" s="47"/>
      <c r="Q424" s="47"/>
      <c r="R424" s="47"/>
    </row>
    <row r="425" ht="14.25" customHeight="1">
      <c r="B425" s="46"/>
      <c r="L425" s="46"/>
      <c r="M425" s="46"/>
      <c r="N425" s="46"/>
      <c r="O425" s="46"/>
      <c r="P425" s="47"/>
      <c r="Q425" s="47"/>
      <c r="R425" s="47"/>
    </row>
    <row r="426" ht="14.25" customHeight="1">
      <c r="B426" s="46"/>
      <c r="L426" s="46"/>
      <c r="M426" s="46"/>
      <c r="N426" s="46"/>
      <c r="O426" s="46"/>
      <c r="P426" s="47"/>
      <c r="Q426" s="47"/>
      <c r="R426" s="47"/>
    </row>
    <row r="427" ht="14.25" customHeight="1">
      <c r="B427" s="46"/>
      <c r="L427" s="46"/>
      <c r="M427" s="46"/>
      <c r="N427" s="46"/>
      <c r="O427" s="46"/>
      <c r="P427" s="47"/>
      <c r="Q427" s="47"/>
      <c r="R427" s="47"/>
    </row>
    <row r="428" ht="14.25" customHeight="1">
      <c r="B428" s="46"/>
      <c r="L428" s="46"/>
      <c r="M428" s="46"/>
      <c r="N428" s="46"/>
      <c r="O428" s="46"/>
      <c r="P428" s="47"/>
      <c r="Q428" s="47"/>
      <c r="R428" s="47"/>
    </row>
    <row r="429" ht="14.25" customHeight="1">
      <c r="B429" s="46"/>
      <c r="L429" s="46"/>
      <c r="M429" s="46"/>
      <c r="N429" s="46"/>
      <c r="O429" s="46"/>
      <c r="P429" s="47"/>
      <c r="Q429" s="47"/>
      <c r="R429" s="47"/>
    </row>
    <row r="430" ht="14.25" customHeight="1">
      <c r="B430" s="46"/>
      <c r="L430" s="46"/>
      <c r="M430" s="46"/>
      <c r="N430" s="46"/>
      <c r="O430" s="46"/>
      <c r="P430" s="47"/>
      <c r="Q430" s="47"/>
      <c r="R430" s="47"/>
    </row>
    <row r="431" ht="14.25" customHeight="1">
      <c r="B431" s="46"/>
      <c r="L431" s="46"/>
      <c r="M431" s="46"/>
      <c r="N431" s="46"/>
      <c r="O431" s="46"/>
      <c r="P431" s="47"/>
      <c r="Q431" s="47"/>
      <c r="R431" s="47"/>
    </row>
    <row r="432" ht="14.25" customHeight="1">
      <c r="B432" s="46"/>
      <c r="L432" s="46"/>
      <c r="M432" s="46"/>
      <c r="N432" s="46"/>
      <c r="O432" s="46"/>
      <c r="P432" s="47"/>
      <c r="Q432" s="47"/>
      <c r="R432" s="47"/>
    </row>
    <row r="433" ht="14.25" customHeight="1">
      <c r="B433" s="46"/>
      <c r="L433" s="46"/>
      <c r="M433" s="46"/>
      <c r="N433" s="46"/>
      <c r="O433" s="46"/>
      <c r="P433" s="47"/>
      <c r="Q433" s="47"/>
      <c r="R433" s="47"/>
    </row>
    <row r="434" ht="14.25" customHeight="1">
      <c r="B434" s="46"/>
      <c r="L434" s="46"/>
      <c r="M434" s="46"/>
      <c r="N434" s="46"/>
      <c r="O434" s="46"/>
      <c r="P434" s="47"/>
      <c r="Q434" s="47"/>
      <c r="R434" s="47"/>
    </row>
    <row r="435" ht="14.25" customHeight="1">
      <c r="B435" s="46"/>
      <c r="L435" s="46"/>
      <c r="M435" s="46"/>
      <c r="N435" s="46"/>
      <c r="O435" s="46"/>
      <c r="P435" s="47"/>
      <c r="Q435" s="47"/>
      <c r="R435" s="47"/>
    </row>
    <row r="436" ht="14.25" customHeight="1">
      <c r="B436" s="46"/>
      <c r="L436" s="46"/>
      <c r="M436" s="46"/>
      <c r="N436" s="46"/>
      <c r="O436" s="46"/>
      <c r="P436" s="47"/>
      <c r="Q436" s="47"/>
      <c r="R436" s="47"/>
    </row>
    <row r="437" ht="14.25" customHeight="1">
      <c r="B437" s="46"/>
      <c r="L437" s="46"/>
      <c r="M437" s="46"/>
      <c r="N437" s="46"/>
      <c r="O437" s="46"/>
      <c r="P437" s="47"/>
      <c r="Q437" s="47"/>
      <c r="R437" s="47"/>
    </row>
    <row r="438" ht="14.25" customHeight="1">
      <c r="B438" s="46"/>
      <c r="L438" s="46"/>
      <c r="M438" s="46"/>
      <c r="N438" s="46"/>
      <c r="O438" s="46"/>
      <c r="P438" s="47"/>
      <c r="Q438" s="47"/>
      <c r="R438" s="47"/>
    </row>
    <row r="439" ht="14.25" customHeight="1">
      <c r="B439" s="46"/>
      <c r="L439" s="46"/>
      <c r="M439" s="46"/>
      <c r="N439" s="46"/>
      <c r="O439" s="46"/>
      <c r="P439" s="47"/>
      <c r="Q439" s="47"/>
      <c r="R439" s="47"/>
    </row>
    <row r="440" ht="14.25" customHeight="1">
      <c r="B440" s="46"/>
      <c r="L440" s="46"/>
      <c r="M440" s="46"/>
      <c r="N440" s="46"/>
      <c r="O440" s="46"/>
      <c r="P440" s="47"/>
      <c r="Q440" s="47"/>
      <c r="R440" s="47"/>
    </row>
    <row r="441" ht="14.25" customHeight="1">
      <c r="B441" s="46"/>
      <c r="L441" s="46"/>
      <c r="M441" s="46"/>
      <c r="N441" s="46"/>
      <c r="O441" s="46"/>
      <c r="P441" s="47"/>
      <c r="Q441" s="47"/>
      <c r="R441" s="47"/>
    </row>
    <row r="442" ht="14.25" customHeight="1">
      <c r="B442" s="46"/>
      <c r="L442" s="46"/>
      <c r="M442" s="46"/>
      <c r="N442" s="46"/>
      <c r="O442" s="46"/>
      <c r="P442" s="47"/>
      <c r="Q442" s="47"/>
      <c r="R442" s="47"/>
    </row>
    <row r="443" ht="14.25" customHeight="1">
      <c r="B443" s="46"/>
      <c r="L443" s="46"/>
      <c r="M443" s="46"/>
      <c r="N443" s="46"/>
      <c r="O443" s="46"/>
      <c r="P443" s="47"/>
      <c r="Q443" s="47"/>
      <c r="R443" s="47"/>
    </row>
    <row r="444" ht="14.25" customHeight="1">
      <c r="B444" s="46"/>
      <c r="L444" s="46"/>
      <c r="M444" s="46"/>
      <c r="N444" s="46"/>
      <c r="O444" s="46"/>
      <c r="P444" s="47"/>
      <c r="Q444" s="47"/>
      <c r="R444" s="47"/>
    </row>
    <row r="445" ht="14.25" customHeight="1">
      <c r="B445" s="46"/>
      <c r="L445" s="46"/>
      <c r="M445" s="46"/>
      <c r="N445" s="46"/>
      <c r="O445" s="46"/>
      <c r="P445" s="47"/>
      <c r="Q445" s="47"/>
      <c r="R445" s="47"/>
    </row>
    <row r="446" ht="14.25" customHeight="1">
      <c r="B446" s="46"/>
      <c r="L446" s="46"/>
      <c r="M446" s="46"/>
      <c r="N446" s="46"/>
      <c r="O446" s="46"/>
      <c r="P446" s="47"/>
      <c r="Q446" s="47"/>
      <c r="R446" s="47"/>
    </row>
    <row r="447" ht="14.25" customHeight="1">
      <c r="B447" s="46"/>
      <c r="L447" s="46"/>
      <c r="M447" s="46"/>
      <c r="N447" s="46"/>
      <c r="O447" s="46"/>
      <c r="P447" s="47"/>
      <c r="Q447" s="47"/>
      <c r="R447" s="47"/>
    </row>
    <row r="448" ht="14.25" customHeight="1">
      <c r="B448" s="46"/>
      <c r="L448" s="46"/>
      <c r="M448" s="46"/>
      <c r="N448" s="46"/>
      <c r="O448" s="46"/>
      <c r="P448" s="47"/>
      <c r="Q448" s="47"/>
      <c r="R448" s="47"/>
    </row>
    <row r="449" ht="14.25" customHeight="1">
      <c r="B449" s="46"/>
      <c r="L449" s="46"/>
      <c r="M449" s="46"/>
      <c r="N449" s="46"/>
      <c r="O449" s="46"/>
      <c r="P449" s="47"/>
      <c r="Q449" s="47"/>
      <c r="R449" s="47"/>
    </row>
    <row r="450" ht="14.25" customHeight="1">
      <c r="B450" s="46"/>
      <c r="L450" s="46"/>
      <c r="M450" s="46"/>
      <c r="N450" s="46"/>
      <c r="O450" s="46"/>
      <c r="P450" s="47"/>
      <c r="Q450" s="47"/>
      <c r="R450" s="47"/>
    </row>
    <row r="451" ht="14.25" customHeight="1">
      <c r="B451" s="46"/>
      <c r="L451" s="46"/>
      <c r="M451" s="46"/>
      <c r="N451" s="46"/>
      <c r="O451" s="46"/>
      <c r="P451" s="47"/>
      <c r="Q451" s="47"/>
      <c r="R451" s="47"/>
    </row>
    <row r="452" ht="14.25" customHeight="1">
      <c r="B452" s="46"/>
      <c r="L452" s="46"/>
      <c r="M452" s="46"/>
      <c r="N452" s="46"/>
      <c r="O452" s="46"/>
      <c r="P452" s="47"/>
      <c r="Q452" s="47"/>
      <c r="R452" s="47"/>
    </row>
    <row r="453" ht="14.25" customHeight="1">
      <c r="B453" s="46"/>
      <c r="L453" s="46"/>
      <c r="M453" s="46"/>
      <c r="N453" s="46"/>
      <c r="O453" s="46"/>
      <c r="P453" s="47"/>
      <c r="Q453" s="47"/>
      <c r="R453" s="47"/>
    </row>
    <row r="454" ht="14.25" customHeight="1">
      <c r="B454" s="46"/>
      <c r="L454" s="46"/>
      <c r="M454" s="46"/>
      <c r="N454" s="46"/>
      <c r="O454" s="46"/>
      <c r="P454" s="47"/>
      <c r="Q454" s="47"/>
      <c r="R454" s="47"/>
    </row>
    <row r="455" ht="14.25" customHeight="1">
      <c r="B455" s="46"/>
      <c r="L455" s="46"/>
      <c r="M455" s="46"/>
      <c r="N455" s="46"/>
      <c r="O455" s="46"/>
      <c r="P455" s="47"/>
      <c r="Q455" s="47"/>
      <c r="R455" s="47"/>
    </row>
    <row r="456" ht="14.25" customHeight="1">
      <c r="B456" s="46"/>
      <c r="L456" s="46"/>
      <c r="M456" s="46"/>
      <c r="N456" s="46"/>
      <c r="O456" s="46"/>
      <c r="P456" s="47"/>
      <c r="Q456" s="47"/>
      <c r="R456" s="47"/>
    </row>
    <row r="457" ht="14.25" customHeight="1">
      <c r="B457" s="46"/>
      <c r="L457" s="46"/>
      <c r="M457" s="46"/>
      <c r="N457" s="46"/>
      <c r="O457" s="46"/>
      <c r="P457" s="47"/>
      <c r="Q457" s="47"/>
      <c r="R457" s="47"/>
    </row>
    <row r="458" ht="14.25" customHeight="1">
      <c r="B458" s="46"/>
      <c r="L458" s="46"/>
      <c r="M458" s="46"/>
      <c r="N458" s="46"/>
      <c r="O458" s="46"/>
      <c r="P458" s="47"/>
      <c r="Q458" s="47"/>
      <c r="R458" s="47"/>
    </row>
    <row r="459" ht="14.25" customHeight="1">
      <c r="B459" s="46"/>
      <c r="L459" s="46"/>
      <c r="M459" s="46"/>
      <c r="N459" s="46"/>
      <c r="O459" s="46"/>
      <c r="P459" s="47"/>
      <c r="Q459" s="47"/>
      <c r="R459" s="47"/>
    </row>
    <row r="460" ht="14.25" customHeight="1">
      <c r="B460" s="46"/>
      <c r="L460" s="46"/>
      <c r="M460" s="46"/>
      <c r="N460" s="46"/>
      <c r="O460" s="46"/>
      <c r="P460" s="47"/>
      <c r="Q460" s="47"/>
      <c r="R460" s="47"/>
    </row>
    <row r="461" ht="14.25" customHeight="1">
      <c r="B461" s="46"/>
      <c r="L461" s="46"/>
      <c r="M461" s="46"/>
      <c r="N461" s="46"/>
      <c r="O461" s="46"/>
      <c r="P461" s="47"/>
      <c r="Q461" s="47"/>
      <c r="R461" s="47"/>
    </row>
    <row r="462" ht="14.25" customHeight="1">
      <c r="B462" s="46"/>
      <c r="L462" s="46"/>
      <c r="M462" s="46"/>
      <c r="N462" s="46"/>
      <c r="O462" s="46"/>
      <c r="P462" s="47"/>
      <c r="Q462" s="47"/>
      <c r="R462" s="47"/>
    </row>
    <row r="463" ht="14.25" customHeight="1">
      <c r="B463" s="46"/>
      <c r="L463" s="46"/>
      <c r="M463" s="46"/>
      <c r="N463" s="46"/>
      <c r="O463" s="46"/>
      <c r="P463" s="47"/>
      <c r="Q463" s="47"/>
      <c r="R463" s="47"/>
    </row>
    <row r="464" ht="14.25" customHeight="1">
      <c r="B464" s="46"/>
      <c r="L464" s="46"/>
      <c r="M464" s="46"/>
      <c r="N464" s="46"/>
      <c r="O464" s="46"/>
      <c r="P464" s="47"/>
      <c r="Q464" s="47"/>
      <c r="R464" s="47"/>
    </row>
    <row r="465" ht="14.25" customHeight="1">
      <c r="B465" s="46"/>
      <c r="L465" s="46"/>
      <c r="M465" s="46"/>
      <c r="N465" s="46"/>
      <c r="O465" s="46"/>
      <c r="P465" s="47"/>
      <c r="Q465" s="47"/>
      <c r="R465" s="47"/>
    </row>
    <row r="466" ht="14.25" customHeight="1">
      <c r="B466" s="46"/>
      <c r="L466" s="46"/>
      <c r="M466" s="46"/>
      <c r="N466" s="46"/>
      <c r="O466" s="46"/>
      <c r="P466" s="47"/>
      <c r="Q466" s="47"/>
      <c r="R466" s="47"/>
    </row>
    <row r="467" ht="14.25" customHeight="1">
      <c r="B467" s="46"/>
      <c r="L467" s="46"/>
      <c r="M467" s="46"/>
      <c r="N467" s="46"/>
      <c r="O467" s="46"/>
      <c r="P467" s="47"/>
      <c r="Q467" s="47"/>
      <c r="R467" s="47"/>
    </row>
    <row r="468" ht="14.25" customHeight="1">
      <c r="B468" s="46"/>
      <c r="L468" s="46"/>
      <c r="M468" s="46"/>
      <c r="N468" s="46"/>
      <c r="O468" s="46"/>
      <c r="P468" s="47"/>
      <c r="Q468" s="47"/>
      <c r="R468" s="47"/>
    </row>
    <row r="469" ht="14.25" customHeight="1">
      <c r="B469" s="46"/>
      <c r="L469" s="46"/>
      <c r="M469" s="46"/>
      <c r="N469" s="46"/>
      <c r="O469" s="46"/>
      <c r="P469" s="47"/>
      <c r="Q469" s="47"/>
      <c r="R469" s="47"/>
    </row>
    <row r="470" ht="14.25" customHeight="1">
      <c r="B470" s="46"/>
      <c r="L470" s="46"/>
      <c r="M470" s="46"/>
      <c r="N470" s="46"/>
      <c r="O470" s="46"/>
      <c r="P470" s="47"/>
      <c r="Q470" s="47"/>
      <c r="R470" s="47"/>
    </row>
    <row r="471" ht="14.25" customHeight="1">
      <c r="B471" s="46"/>
      <c r="L471" s="46"/>
      <c r="M471" s="46"/>
      <c r="N471" s="46"/>
      <c r="O471" s="46"/>
      <c r="P471" s="47"/>
      <c r="Q471" s="47"/>
      <c r="R471" s="47"/>
    </row>
    <row r="472" ht="14.25" customHeight="1">
      <c r="B472" s="46"/>
      <c r="L472" s="46"/>
      <c r="M472" s="46"/>
      <c r="N472" s="46"/>
      <c r="O472" s="46"/>
      <c r="P472" s="47"/>
      <c r="Q472" s="47"/>
      <c r="R472" s="47"/>
    </row>
    <row r="473" ht="14.25" customHeight="1">
      <c r="B473" s="46"/>
      <c r="L473" s="46"/>
      <c r="M473" s="46"/>
      <c r="N473" s="46"/>
      <c r="O473" s="46"/>
      <c r="P473" s="47"/>
      <c r="Q473" s="47"/>
      <c r="R473" s="47"/>
    </row>
    <row r="474" ht="14.25" customHeight="1">
      <c r="B474" s="46"/>
      <c r="L474" s="46"/>
      <c r="M474" s="46"/>
      <c r="N474" s="46"/>
      <c r="O474" s="46"/>
      <c r="P474" s="47"/>
      <c r="Q474" s="47"/>
      <c r="R474" s="47"/>
    </row>
    <row r="475" ht="14.25" customHeight="1">
      <c r="B475" s="46"/>
      <c r="L475" s="46"/>
      <c r="M475" s="46"/>
      <c r="N475" s="46"/>
      <c r="O475" s="46"/>
      <c r="P475" s="47"/>
      <c r="Q475" s="47"/>
      <c r="R475" s="47"/>
    </row>
    <row r="476" ht="14.25" customHeight="1">
      <c r="B476" s="46"/>
      <c r="L476" s="46"/>
      <c r="M476" s="46"/>
      <c r="N476" s="46"/>
      <c r="O476" s="46"/>
      <c r="P476" s="47"/>
      <c r="Q476" s="47"/>
      <c r="R476" s="47"/>
    </row>
    <row r="477" ht="14.25" customHeight="1">
      <c r="B477" s="46"/>
      <c r="L477" s="46"/>
      <c r="M477" s="46"/>
      <c r="N477" s="46"/>
      <c r="O477" s="46"/>
      <c r="P477" s="47"/>
      <c r="Q477" s="47"/>
      <c r="R477" s="47"/>
    </row>
    <row r="478" ht="14.25" customHeight="1">
      <c r="B478" s="46"/>
      <c r="L478" s="46"/>
      <c r="M478" s="46"/>
      <c r="N478" s="46"/>
      <c r="O478" s="46"/>
      <c r="P478" s="47"/>
      <c r="Q478" s="47"/>
      <c r="R478" s="47"/>
    </row>
    <row r="479" ht="14.25" customHeight="1">
      <c r="B479" s="46"/>
      <c r="L479" s="46"/>
      <c r="M479" s="46"/>
      <c r="N479" s="46"/>
      <c r="O479" s="46"/>
      <c r="P479" s="47"/>
      <c r="Q479" s="47"/>
      <c r="R479" s="47"/>
    </row>
    <row r="480" ht="14.25" customHeight="1">
      <c r="B480" s="46"/>
      <c r="L480" s="46"/>
      <c r="M480" s="46"/>
      <c r="N480" s="46"/>
      <c r="O480" s="46"/>
      <c r="P480" s="47"/>
      <c r="Q480" s="47"/>
      <c r="R480" s="47"/>
    </row>
    <row r="481" ht="14.25" customHeight="1">
      <c r="B481" s="46"/>
      <c r="L481" s="46"/>
      <c r="M481" s="46"/>
      <c r="N481" s="46"/>
      <c r="O481" s="46"/>
      <c r="P481" s="47"/>
      <c r="Q481" s="47"/>
      <c r="R481" s="47"/>
    </row>
    <row r="482" ht="14.25" customHeight="1">
      <c r="B482" s="46"/>
      <c r="L482" s="46"/>
      <c r="M482" s="46"/>
      <c r="N482" s="46"/>
      <c r="O482" s="46"/>
      <c r="P482" s="47"/>
      <c r="Q482" s="47"/>
      <c r="R482" s="47"/>
    </row>
    <row r="483" ht="14.25" customHeight="1">
      <c r="B483" s="46"/>
      <c r="L483" s="46"/>
      <c r="M483" s="46"/>
      <c r="N483" s="46"/>
      <c r="O483" s="46"/>
      <c r="P483" s="47"/>
      <c r="Q483" s="47"/>
      <c r="R483" s="47"/>
    </row>
    <row r="484" ht="14.25" customHeight="1">
      <c r="B484" s="46"/>
      <c r="L484" s="46"/>
      <c r="M484" s="46"/>
      <c r="N484" s="46"/>
      <c r="O484" s="46"/>
      <c r="P484" s="47"/>
      <c r="Q484" s="47"/>
      <c r="R484" s="47"/>
    </row>
    <row r="485" ht="14.25" customHeight="1">
      <c r="B485" s="46"/>
      <c r="L485" s="46"/>
      <c r="M485" s="46"/>
      <c r="N485" s="46"/>
      <c r="O485" s="46"/>
      <c r="P485" s="47"/>
      <c r="Q485" s="47"/>
      <c r="R485" s="47"/>
    </row>
    <row r="486" ht="14.25" customHeight="1">
      <c r="B486" s="46"/>
      <c r="L486" s="46"/>
      <c r="M486" s="46"/>
      <c r="N486" s="46"/>
      <c r="O486" s="46"/>
      <c r="P486" s="47"/>
      <c r="Q486" s="47"/>
      <c r="R486" s="47"/>
    </row>
    <row r="487" ht="14.25" customHeight="1">
      <c r="B487" s="46"/>
      <c r="L487" s="46"/>
      <c r="M487" s="46"/>
      <c r="N487" s="46"/>
      <c r="O487" s="46"/>
      <c r="P487" s="47"/>
      <c r="Q487" s="47"/>
      <c r="R487" s="47"/>
    </row>
    <row r="488" ht="14.25" customHeight="1">
      <c r="B488" s="46"/>
      <c r="L488" s="46"/>
      <c r="M488" s="46"/>
      <c r="N488" s="46"/>
      <c r="O488" s="46"/>
      <c r="P488" s="47"/>
      <c r="Q488" s="47"/>
      <c r="R488" s="47"/>
    </row>
    <row r="489" ht="14.25" customHeight="1">
      <c r="B489" s="46"/>
      <c r="L489" s="46"/>
      <c r="M489" s="46"/>
      <c r="N489" s="46"/>
      <c r="O489" s="46"/>
      <c r="P489" s="47"/>
      <c r="Q489" s="47"/>
      <c r="R489" s="47"/>
    </row>
    <row r="490" ht="14.25" customHeight="1">
      <c r="B490" s="46"/>
      <c r="L490" s="46"/>
      <c r="M490" s="46"/>
      <c r="N490" s="46"/>
      <c r="O490" s="46"/>
      <c r="P490" s="47"/>
      <c r="Q490" s="47"/>
      <c r="R490" s="47"/>
    </row>
    <row r="491" ht="14.25" customHeight="1">
      <c r="B491" s="46"/>
      <c r="L491" s="46"/>
      <c r="M491" s="46"/>
      <c r="N491" s="46"/>
      <c r="O491" s="46"/>
      <c r="P491" s="47"/>
      <c r="Q491" s="47"/>
      <c r="R491" s="47"/>
    </row>
    <row r="492" ht="14.25" customHeight="1">
      <c r="B492" s="46"/>
      <c r="L492" s="46"/>
      <c r="M492" s="46"/>
      <c r="N492" s="46"/>
      <c r="O492" s="46"/>
      <c r="P492" s="47"/>
      <c r="Q492" s="47"/>
      <c r="R492" s="47"/>
    </row>
    <row r="493" ht="14.25" customHeight="1">
      <c r="B493" s="46"/>
      <c r="L493" s="46"/>
      <c r="M493" s="46"/>
      <c r="N493" s="46"/>
      <c r="O493" s="46"/>
      <c r="P493" s="47"/>
      <c r="Q493" s="47"/>
      <c r="R493" s="47"/>
    </row>
    <row r="494" ht="14.25" customHeight="1">
      <c r="B494" s="46"/>
      <c r="L494" s="46"/>
      <c r="M494" s="46"/>
      <c r="N494" s="46"/>
      <c r="O494" s="46"/>
      <c r="P494" s="47"/>
      <c r="Q494" s="47"/>
      <c r="R494" s="47"/>
    </row>
    <row r="495" ht="14.25" customHeight="1">
      <c r="B495" s="46"/>
      <c r="L495" s="46"/>
      <c r="M495" s="46"/>
      <c r="N495" s="46"/>
      <c r="O495" s="46"/>
      <c r="P495" s="47"/>
      <c r="Q495" s="47"/>
      <c r="R495" s="47"/>
    </row>
    <row r="496" ht="14.25" customHeight="1">
      <c r="B496" s="46"/>
      <c r="L496" s="46"/>
      <c r="M496" s="46"/>
      <c r="N496" s="46"/>
      <c r="O496" s="46"/>
      <c r="P496" s="47"/>
      <c r="Q496" s="47"/>
      <c r="R496" s="47"/>
    </row>
    <row r="497" ht="14.25" customHeight="1">
      <c r="B497" s="46"/>
      <c r="L497" s="46"/>
      <c r="M497" s="46"/>
      <c r="N497" s="46"/>
      <c r="O497" s="46"/>
      <c r="P497" s="47"/>
      <c r="Q497" s="47"/>
      <c r="R497" s="47"/>
    </row>
    <row r="498" ht="14.25" customHeight="1">
      <c r="B498" s="46"/>
      <c r="L498" s="46"/>
      <c r="M498" s="46"/>
      <c r="N498" s="46"/>
      <c r="O498" s="46"/>
      <c r="P498" s="47"/>
      <c r="Q498" s="47"/>
      <c r="R498" s="47"/>
    </row>
    <row r="499" ht="14.25" customHeight="1">
      <c r="B499" s="46"/>
      <c r="L499" s="46"/>
      <c r="M499" s="46"/>
      <c r="N499" s="46"/>
      <c r="O499" s="46"/>
      <c r="P499" s="47"/>
      <c r="Q499" s="47"/>
      <c r="R499" s="47"/>
    </row>
    <row r="500" ht="14.25" customHeight="1">
      <c r="B500" s="46"/>
      <c r="L500" s="46"/>
      <c r="M500" s="46"/>
      <c r="N500" s="46"/>
      <c r="O500" s="46"/>
      <c r="P500" s="47"/>
      <c r="Q500" s="47"/>
      <c r="R500" s="47"/>
    </row>
    <row r="501" ht="14.25" customHeight="1">
      <c r="B501" s="46"/>
      <c r="L501" s="46"/>
      <c r="M501" s="46"/>
      <c r="N501" s="46"/>
      <c r="O501" s="46"/>
      <c r="P501" s="47"/>
      <c r="Q501" s="47"/>
      <c r="R501" s="47"/>
    </row>
    <row r="502" ht="14.25" customHeight="1">
      <c r="B502" s="46"/>
      <c r="L502" s="46"/>
      <c r="M502" s="46"/>
      <c r="N502" s="46"/>
      <c r="O502" s="46"/>
      <c r="P502" s="47"/>
      <c r="Q502" s="47"/>
      <c r="R502" s="47"/>
    </row>
    <row r="503" ht="14.25" customHeight="1">
      <c r="B503" s="46"/>
      <c r="L503" s="46"/>
      <c r="M503" s="46"/>
      <c r="N503" s="46"/>
      <c r="O503" s="46"/>
      <c r="P503" s="47"/>
      <c r="Q503" s="47"/>
      <c r="R503" s="47"/>
    </row>
    <row r="504" ht="14.25" customHeight="1">
      <c r="B504" s="46"/>
      <c r="L504" s="46"/>
      <c r="M504" s="46"/>
      <c r="N504" s="46"/>
      <c r="O504" s="46"/>
      <c r="P504" s="47"/>
      <c r="Q504" s="47"/>
      <c r="R504" s="47"/>
    </row>
    <row r="505" ht="14.25" customHeight="1">
      <c r="B505" s="46"/>
      <c r="L505" s="46"/>
      <c r="M505" s="46"/>
      <c r="N505" s="46"/>
      <c r="O505" s="46"/>
      <c r="P505" s="47"/>
      <c r="Q505" s="47"/>
      <c r="R505" s="47"/>
    </row>
    <row r="506" ht="14.25" customHeight="1">
      <c r="B506" s="46"/>
      <c r="L506" s="46"/>
      <c r="M506" s="46"/>
      <c r="N506" s="46"/>
      <c r="O506" s="46"/>
      <c r="P506" s="47"/>
      <c r="Q506" s="47"/>
      <c r="R506" s="47"/>
    </row>
    <row r="507" ht="14.25" customHeight="1">
      <c r="B507" s="46"/>
      <c r="L507" s="46"/>
      <c r="M507" s="46"/>
      <c r="N507" s="46"/>
      <c r="O507" s="46"/>
      <c r="P507" s="47"/>
      <c r="Q507" s="47"/>
      <c r="R507" s="47"/>
    </row>
    <row r="508" ht="14.25" customHeight="1">
      <c r="B508" s="46"/>
      <c r="L508" s="46"/>
      <c r="M508" s="46"/>
      <c r="N508" s="46"/>
      <c r="O508" s="46"/>
      <c r="P508" s="47"/>
      <c r="Q508" s="47"/>
      <c r="R508" s="47"/>
    </row>
    <row r="509" ht="14.25" customHeight="1">
      <c r="B509" s="46"/>
      <c r="L509" s="46"/>
      <c r="M509" s="46"/>
      <c r="N509" s="46"/>
      <c r="O509" s="46"/>
      <c r="P509" s="47"/>
      <c r="Q509" s="47"/>
      <c r="R509" s="47"/>
    </row>
    <row r="510" ht="14.25" customHeight="1">
      <c r="B510" s="46"/>
      <c r="L510" s="46"/>
      <c r="M510" s="46"/>
      <c r="N510" s="46"/>
      <c r="O510" s="46"/>
      <c r="P510" s="47"/>
      <c r="Q510" s="47"/>
      <c r="R510" s="47"/>
    </row>
    <row r="511" ht="14.25" customHeight="1">
      <c r="B511" s="46"/>
      <c r="L511" s="46"/>
      <c r="M511" s="46"/>
      <c r="N511" s="46"/>
      <c r="O511" s="46"/>
      <c r="P511" s="47"/>
      <c r="Q511" s="47"/>
      <c r="R511" s="47"/>
    </row>
    <row r="512" ht="14.25" customHeight="1">
      <c r="B512" s="46"/>
      <c r="L512" s="46"/>
      <c r="M512" s="46"/>
      <c r="N512" s="46"/>
      <c r="O512" s="46"/>
      <c r="P512" s="47"/>
      <c r="Q512" s="47"/>
      <c r="R512" s="47"/>
    </row>
    <row r="513" ht="14.25" customHeight="1">
      <c r="B513" s="46"/>
      <c r="L513" s="46"/>
      <c r="M513" s="46"/>
      <c r="N513" s="46"/>
      <c r="O513" s="46"/>
      <c r="P513" s="47"/>
      <c r="Q513" s="47"/>
      <c r="R513" s="47"/>
    </row>
    <row r="514" ht="14.25" customHeight="1">
      <c r="B514" s="46"/>
      <c r="L514" s="46"/>
      <c r="M514" s="46"/>
      <c r="N514" s="46"/>
      <c r="O514" s="46"/>
      <c r="P514" s="47"/>
      <c r="Q514" s="47"/>
      <c r="R514" s="47"/>
    </row>
    <row r="515" ht="14.25" customHeight="1">
      <c r="B515" s="46"/>
      <c r="L515" s="46"/>
      <c r="M515" s="46"/>
      <c r="N515" s="46"/>
      <c r="O515" s="46"/>
      <c r="P515" s="47"/>
      <c r="Q515" s="47"/>
      <c r="R515" s="47"/>
    </row>
    <row r="516" ht="14.25" customHeight="1">
      <c r="B516" s="46"/>
      <c r="L516" s="46"/>
      <c r="M516" s="46"/>
      <c r="N516" s="46"/>
      <c r="O516" s="46"/>
      <c r="P516" s="47"/>
      <c r="Q516" s="47"/>
      <c r="R516" s="47"/>
    </row>
    <row r="517" ht="14.25" customHeight="1">
      <c r="B517" s="46"/>
      <c r="L517" s="46"/>
      <c r="M517" s="46"/>
      <c r="N517" s="46"/>
      <c r="O517" s="46"/>
      <c r="P517" s="47"/>
      <c r="Q517" s="47"/>
      <c r="R517" s="47"/>
    </row>
    <row r="518" ht="14.25" customHeight="1">
      <c r="B518" s="46"/>
      <c r="L518" s="46"/>
      <c r="M518" s="46"/>
      <c r="N518" s="46"/>
      <c r="O518" s="46"/>
      <c r="P518" s="47"/>
      <c r="Q518" s="47"/>
      <c r="R518" s="47"/>
    </row>
    <row r="519" ht="14.25" customHeight="1">
      <c r="B519" s="46"/>
      <c r="L519" s="46"/>
      <c r="M519" s="46"/>
      <c r="N519" s="46"/>
      <c r="O519" s="46"/>
      <c r="P519" s="47"/>
      <c r="Q519" s="47"/>
      <c r="R519" s="47"/>
    </row>
    <row r="520" ht="14.25" customHeight="1">
      <c r="B520" s="46"/>
      <c r="L520" s="46"/>
      <c r="M520" s="46"/>
      <c r="N520" s="46"/>
      <c r="O520" s="46"/>
      <c r="P520" s="47"/>
      <c r="Q520" s="47"/>
      <c r="R520" s="47"/>
    </row>
    <row r="521" ht="14.25" customHeight="1">
      <c r="B521" s="46"/>
      <c r="L521" s="46"/>
      <c r="M521" s="46"/>
      <c r="N521" s="46"/>
      <c r="O521" s="46"/>
      <c r="P521" s="47"/>
      <c r="Q521" s="47"/>
      <c r="R521" s="47"/>
    </row>
    <row r="522" ht="14.25" customHeight="1">
      <c r="B522" s="46"/>
      <c r="L522" s="46"/>
      <c r="M522" s="46"/>
      <c r="N522" s="46"/>
      <c r="O522" s="46"/>
      <c r="P522" s="47"/>
      <c r="Q522" s="47"/>
      <c r="R522" s="47"/>
    </row>
    <row r="523" ht="14.25" customHeight="1">
      <c r="B523" s="46"/>
      <c r="L523" s="46"/>
      <c r="M523" s="46"/>
      <c r="N523" s="46"/>
      <c r="O523" s="46"/>
      <c r="P523" s="47"/>
      <c r="Q523" s="47"/>
      <c r="R523" s="47"/>
    </row>
    <row r="524" ht="14.25" customHeight="1">
      <c r="B524" s="46"/>
      <c r="L524" s="46"/>
      <c r="M524" s="46"/>
      <c r="N524" s="46"/>
      <c r="O524" s="46"/>
      <c r="P524" s="47"/>
      <c r="Q524" s="47"/>
      <c r="R524" s="47"/>
    </row>
    <row r="525" ht="14.25" customHeight="1">
      <c r="B525" s="46"/>
      <c r="L525" s="46"/>
      <c r="M525" s="46"/>
      <c r="N525" s="46"/>
      <c r="O525" s="46"/>
      <c r="P525" s="47"/>
      <c r="Q525" s="47"/>
      <c r="R525" s="47"/>
    </row>
    <row r="526" ht="14.25" customHeight="1">
      <c r="B526" s="46"/>
      <c r="L526" s="46"/>
      <c r="M526" s="46"/>
      <c r="N526" s="46"/>
      <c r="O526" s="46"/>
      <c r="P526" s="47"/>
      <c r="Q526" s="47"/>
      <c r="R526" s="47"/>
    </row>
    <row r="527" ht="14.25" customHeight="1">
      <c r="B527" s="46"/>
      <c r="L527" s="46"/>
      <c r="M527" s="46"/>
      <c r="N527" s="46"/>
      <c r="O527" s="46"/>
      <c r="P527" s="47"/>
      <c r="Q527" s="47"/>
      <c r="R527" s="47"/>
    </row>
    <row r="528" ht="14.25" customHeight="1">
      <c r="B528" s="46"/>
      <c r="L528" s="46"/>
      <c r="M528" s="46"/>
      <c r="N528" s="46"/>
      <c r="O528" s="46"/>
      <c r="P528" s="47"/>
      <c r="Q528" s="47"/>
      <c r="R528" s="47"/>
    </row>
    <row r="529" ht="14.25" customHeight="1">
      <c r="B529" s="46"/>
      <c r="L529" s="46"/>
      <c r="M529" s="46"/>
      <c r="N529" s="46"/>
      <c r="O529" s="46"/>
      <c r="P529" s="47"/>
      <c r="Q529" s="47"/>
      <c r="R529" s="47"/>
    </row>
    <row r="530" ht="14.25" customHeight="1">
      <c r="B530" s="46"/>
      <c r="L530" s="46"/>
      <c r="M530" s="46"/>
      <c r="N530" s="46"/>
      <c r="O530" s="46"/>
      <c r="P530" s="47"/>
      <c r="Q530" s="47"/>
      <c r="R530" s="47"/>
    </row>
    <row r="531" ht="14.25" customHeight="1">
      <c r="B531" s="46"/>
      <c r="L531" s="46"/>
      <c r="M531" s="46"/>
      <c r="N531" s="46"/>
      <c r="O531" s="46"/>
      <c r="P531" s="47"/>
      <c r="Q531" s="47"/>
      <c r="R531" s="47"/>
    </row>
    <row r="532" ht="14.25" customHeight="1">
      <c r="B532" s="46"/>
      <c r="L532" s="46"/>
      <c r="M532" s="46"/>
      <c r="N532" s="46"/>
      <c r="O532" s="46"/>
      <c r="P532" s="47"/>
      <c r="Q532" s="47"/>
      <c r="R532" s="47"/>
    </row>
    <row r="533" ht="14.25" customHeight="1">
      <c r="B533" s="46"/>
      <c r="L533" s="46"/>
      <c r="M533" s="46"/>
      <c r="N533" s="46"/>
      <c r="O533" s="46"/>
      <c r="P533" s="47"/>
      <c r="Q533" s="47"/>
      <c r="R533" s="47"/>
    </row>
    <row r="534" ht="14.25" customHeight="1">
      <c r="B534" s="46"/>
      <c r="L534" s="46"/>
      <c r="M534" s="46"/>
      <c r="N534" s="46"/>
      <c r="O534" s="46"/>
      <c r="P534" s="47"/>
      <c r="Q534" s="47"/>
      <c r="R534" s="47"/>
    </row>
    <row r="535" ht="14.25" customHeight="1">
      <c r="B535" s="46"/>
      <c r="L535" s="46"/>
      <c r="M535" s="46"/>
      <c r="N535" s="46"/>
      <c r="O535" s="46"/>
      <c r="P535" s="47"/>
      <c r="Q535" s="47"/>
      <c r="R535" s="47"/>
    </row>
    <row r="536" ht="14.25" customHeight="1">
      <c r="B536" s="46"/>
      <c r="L536" s="46"/>
      <c r="M536" s="46"/>
      <c r="N536" s="46"/>
      <c r="O536" s="46"/>
      <c r="P536" s="47"/>
      <c r="Q536" s="47"/>
      <c r="R536" s="47"/>
    </row>
    <row r="537" ht="14.25" customHeight="1">
      <c r="B537" s="46"/>
      <c r="L537" s="46"/>
      <c r="M537" s="46"/>
      <c r="N537" s="46"/>
      <c r="O537" s="46"/>
      <c r="P537" s="47"/>
      <c r="Q537" s="47"/>
      <c r="R537" s="47"/>
    </row>
    <row r="538" ht="14.25" customHeight="1">
      <c r="B538" s="46"/>
      <c r="L538" s="46"/>
      <c r="M538" s="46"/>
      <c r="N538" s="46"/>
      <c r="O538" s="46"/>
      <c r="P538" s="47"/>
      <c r="Q538" s="47"/>
      <c r="R538" s="47"/>
    </row>
    <row r="539" ht="14.25" customHeight="1">
      <c r="B539" s="46"/>
      <c r="L539" s="46"/>
      <c r="M539" s="46"/>
      <c r="N539" s="46"/>
      <c r="O539" s="46"/>
      <c r="P539" s="47"/>
      <c r="Q539" s="47"/>
      <c r="R539" s="47"/>
    </row>
    <row r="540" ht="14.25" customHeight="1">
      <c r="B540" s="46"/>
      <c r="L540" s="46"/>
      <c r="M540" s="46"/>
      <c r="N540" s="46"/>
      <c r="O540" s="46"/>
      <c r="P540" s="47"/>
      <c r="Q540" s="47"/>
      <c r="R540" s="47"/>
    </row>
    <row r="541" ht="14.25" customHeight="1">
      <c r="B541" s="46"/>
      <c r="L541" s="46"/>
      <c r="M541" s="46"/>
      <c r="N541" s="46"/>
      <c r="O541" s="46"/>
      <c r="P541" s="47"/>
      <c r="Q541" s="47"/>
      <c r="R541" s="47"/>
    </row>
    <row r="542" ht="14.25" customHeight="1">
      <c r="B542" s="46"/>
      <c r="L542" s="46"/>
      <c r="M542" s="46"/>
      <c r="N542" s="46"/>
      <c r="O542" s="46"/>
      <c r="P542" s="47"/>
      <c r="Q542" s="47"/>
      <c r="R542" s="47"/>
    </row>
    <row r="543" ht="14.25" customHeight="1">
      <c r="B543" s="46"/>
      <c r="L543" s="46"/>
      <c r="M543" s="46"/>
      <c r="N543" s="46"/>
      <c r="O543" s="46"/>
      <c r="P543" s="47"/>
      <c r="Q543" s="47"/>
      <c r="R543" s="47"/>
    </row>
    <row r="544" ht="14.25" customHeight="1">
      <c r="B544" s="46"/>
      <c r="L544" s="46"/>
      <c r="M544" s="46"/>
      <c r="N544" s="46"/>
      <c r="O544" s="46"/>
      <c r="P544" s="47"/>
      <c r="Q544" s="47"/>
      <c r="R544" s="47"/>
    </row>
    <row r="545" ht="14.25" customHeight="1">
      <c r="B545" s="46"/>
      <c r="L545" s="46"/>
      <c r="M545" s="46"/>
      <c r="N545" s="46"/>
      <c r="O545" s="46"/>
      <c r="P545" s="47"/>
      <c r="Q545" s="47"/>
      <c r="R545" s="47"/>
    </row>
    <row r="546" ht="14.25" customHeight="1">
      <c r="B546" s="46"/>
      <c r="L546" s="46"/>
      <c r="M546" s="46"/>
      <c r="N546" s="46"/>
      <c r="O546" s="46"/>
      <c r="P546" s="47"/>
      <c r="Q546" s="47"/>
      <c r="R546" s="47"/>
    </row>
    <row r="547" ht="14.25" customHeight="1">
      <c r="B547" s="46"/>
      <c r="L547" s="46"/>
      <c r="M547" s="46"/>
      <c r="N547" s="46"/>
      <c r="O547" s="46"/>
      <c r="P547" s="47"/>
      <c r="Q547" s="47"/>
      <c r="R547" s="47"/>
    </row>
    <row r="548" ht="14.25" customHeight="1">
      <c r="B548" s="46"/>
      <c r="L548" s="46"/>
      <c r="M548" s="46"/>
      <c r="N548" s="46"/>
      <c r="O548" s="46"/>
      <c r="P548" s="47"/>
      <c r="Q548" s="47"/>
      <c r="R548" s="47"/>
    </row>
    <row r="549" ht="14.25" customHeight="1">
      <c r="B549" s="46"/>
      <c r="L549" s="46"/>
      <c r="M549" s="46"/>
      <c r="N549" s="46"/>
      <c r="O549" s="46"/>
      <c r="P549" s="47"/>
      <c r="Q549" s="47"/>
      <c r="R549" s="47"/>
    </row>
    <row r="550" ht="14.25" customHeight="1">
      <c r="B550" s="46"/>
      <c r="L550" s="46"/>
      <c r="M550" s="46"/>
      <c r="N550" s="46"/>
      <c r="O550" s="46"/>
      <c r="P550" s="47"/>
      <c r="Q550" s="47"/>
      <c r="R550" s="47"/>
    </row>
    <row r="551" ht="14.25" customHeight="1">
      <c r="B551" s="46"/>
      <c r="L551" s="46"/>
      <c r="M551" s="46"/>
      <c r="N551" s="46"/>
      <c r="O551" s="46"/>
      <c r="P551" s="47"/>
      <c r="Q551" s="47"/>
      <c r="R551" s="47"/>
    </row>
    <row r="552" ht="14.25" customHeight="1">
      <c r="B552" s="46"/>
      <c r="L552" s="46"/>
      <c r="M552" s="46"/>
      <c r="N552" s="46"/>
      <c r="O552" s="46"/>
      <c r="P552" s="47"/>
      <c r="Q552" s="47"/>
      <c r="R552" s="47"/>
    </row>
    <row r="553" ht="14.25" customHeight="1">
      <c r="B553" s="46"/>
      <c r="L553" s="46"/>
      <c r="M553" s="46"/>
      <c r="N553" s="46"/>
      <c r="O553" s="46"/>
      <c r="P553" s="47"/>
      <c r="Q553" s="47"/>
      <c r="R553" s="47"/>
    </row>
    <row r="554" ht="14.25" customHeight="1">
      <c r="B554" s="46"/>
      <c r="L554" s="46"/>
      <c r="M554" s="46"/>
      <c r="N554" s="46"/>
      <c r="O554" s="46"/>
      <c r="P554" s="47"/>
      <c r="Q554" s="47"/>
      <c r="R554" s="47"/>
    </row>
    <row r="555" ht="14.25" customHeight="1">
      <c r="B555" s="46"/>
      <c r="L555" s="46"/>
      <c r="M555" s="46"/>
      <c r="N555" s="46"/>
      <c r="O555" s="46"/>
      <c r="P555" s="47"/>
      <c r="Q555" s="47"/>
      <c r="R555" s="47"/>
    </row>
    <row r="556" ht="14.25" customHeight="1">
      <c r="B556" s="46"/>
      <c r="L556" s="46"/>
      <c r="M556" s="46"/>
      <c r="N556" s="46"/>
      <c r="O556" s="46"/>
      <c r="P556" s="47"/>
      <c r="Q556" s="47"/>
      <c r="R556" s="47"/>
    </row>
    <row r="557" ht="14.25" customHeight="1">
      <c r="B557" s="46"/>
      <c r="L557" s="46"/>
      <c r="M557" s="46"/>
      <c r="N557" s="46"/>
      <c r="O557" s="46"/>
      <c r="P557" s="47"/>
      <c r="Q557" s="47"/>
      <c r="R557" s="47"/>
    </row>
    <row r="558" ht="14.25" customHeight="1">
      <c r="B558" s="46"/>
      <c r="L558" s="46"/>
      <c r="M558" s="46"/>
      <c r="N558" s="46"/>
      <c r="O558" s="46"/>
      <c r="P558" s="47"/>
      <c r="Q558" s="47"/>
      <c r="R558" s="47"/>
    </row>
    <row r="559" ht="14.25" customHeight="1">
      <c r="B559" s="46"/>
      <c r="L559" s="46"/>
      <c r="M559" s="46"/>
      <c r="N559" s="46"/>
      <c r="O559" s="46"/>
      <c r="P559" s="47"/>
      <c r="Q559" s="47"/>
      <c r="R559" s="47"/>
    </row>
    <row r="560" ht="14.25" customHeight="1">
      <c r="B560" s="46"/>
      <c r="L560" s="46"/>
      <c r="M560" s="46"/>
      <c r="N560" s="46"/>
      <c r="O560" s="46"/>
      <c r="P560" s="47"/>
      <c r="Q560" s="47"/>
      <c r="R560" s="47"/>
    </row>
    <row r="561" ht="14.25" customHeight="1">
      <c r="B561" s="46"/>
      <c r="L561" s="46"/>
      <c r="M561" s="46"/>
      <c r="N561" s="46"/>
      <c r="O561" s="46"/>
      <c r="P561" s="47"/>
      <c r="Q561" s="47"/>
      <c r="R561" s="47"/>
    </row>
    <row r="562" ht="14.25" customHeight="1">
      <c r="B562" s="46"/>
      <c r="L562" s="46"/>
      <c r="M562" s="46"/>
      <c r="N562" s="46"/>
      <c r="O562" s="46"/>
      <c r="P562" s="47"/>
      <c r="Q562" s="47"/>
      <c r="R562" s="47"/>
    </row>
    <row r="563" ht="14.25" customHeight="1">
      <c r="B563" s="46"/>
      <c r="L563" s="46"/>
      <c r="M563" s="46"/>
      <c r="N563" s="46"/>
      <c r="O563" s="46"/>
      <c r="P563" s="47"/>
      <c r="Q563" s="47"/>
      <c r="R563" s="47"/>
    </row>
    <row r="564" ht="14.25" customHeight="1">
      <c r="B564" s="46"/>
      <c r="L564" s="46"/>
      <c r="M564" s="46"/>
      <c r="N564" s="46"/>
      <c r="O564" s="46"/>
      <c r="P564" s="47"/>
      <c r="Q564" s="47"/>
      <c r="R564" s="47"/>
    </row>
    <row r="565" ht="14.25" customHeight="1">
      <c r="B565" s="46"/>
      <c r="L565" s="46"/>
      <c r="M565" s="46"/>
      <c r="N565" s="46"/>
      <c r="O565" s="46"/>
      <c r="P565" s="47"/>
      <c r="Q565" s="47"/>
      <c r="R565" s="47"/>
    </row>
    <row r="566" ht="14.25" customHeight="1">
      <c r="B566" s="46"/>
      <c r="L566" s="46"/>
      <c r="M566" s="46"/>
      <c r="N566" s="46"/>
      <c r="O566" s="46"/>
      <c r="P566" s="47"/>
      <c r="Q566" s="47"/>
      <c r="R566" s="47"/>
    </row>
    <row r="567" ht="14.25" customHeight="1">
      <c r="B567" s="46"/>
      <c r="L567" s="46"/>
      <c r="M567" s="46"/>
      <c r="N567" s="46"/>
      <c r="O567" s="46"/>
      <c r="P567" s="47"/>
      <c r="Q567" s="47"/>
      <c r="R567" s="47"/>
    </row>
    <row r="568" ht="14.25" customHeight="1">
      <c r="B568" s="46"/>
      <c r="L568" s="46"/>
      <c r="M568" s="46"/>
      <c r="N568" s="46"/>
      <c r="O568" s="46"/>
      <c r="P568" s="47"/>
      <c r="Q568" s="47"/>
      <c r="R568" s="47"/>
    </row>
    <row r="569" ht="14.25" customHeight="1">
      <c r="B569" s="46"/>
      <c r="L569" s="46"/>
      <c r="M569" s="46"/>
      <c r="N569" s="46"/>
      <c r="O569" s="46"/>
      <c r="P569" s="47"/>
      <c r="Q569" s="47"/>
      <c r="R569" s="47"/>
    </row>
    <row r="570" ht="14.25" customHeight="1">
      <c r="B570" s="46"/>
      <c r="L570" s="46"/>
      <c r="M570" s="46"/>
      <c r="N570" s="46"/>
      <c r="O570" s="46"/>
      <c r="P570" s="47"/>
      <c r="Q570" s="47"/>
      <c r="R570" s="47"/>
    </row>
    <row r="571" ht="14.25" customHeight="1">
      <c r="B571" s="46"/>
      <c r="L571" s="46"/>
      <c r="M571" s="46"/>
      <c r="N571" s="46"/>
      <c r="O571" s="46"/>
      <c r="P571" s="47"/>
      <c r="Q571" s="47"/>
      <c r="R571" s="47"/>
    </row>
    <row r="572" ht="14.25" customHeight="1">
      <c r="B572" s="46"/>
      <c r="L572" s="46"/>
      <c r="M572" s="46"/>
      <c r="N572" s="46"/>
      <c r="O572" s="46"/>
      <c r="P572" s="47"/>
      <c r="Q572" s="47"/>
      <c r="R572" s="47"/>
    </row>
    <row r="573" ht="14.25" customHeight="1">
      <c r="B573" s="46"/>
      <c r="L573" s="46"/>
      <c r="M573" s="46"/>
      <c r="N573" s="46"/>
      <c r="O573" s="46"/>
      <c r="P573" s="47"/>
      <c r="Q573" s="47"/>
      <c r="R573" s="47"/>
    </row>
    <row r="574" ht="14.25" customHeight="1">
      <c r="B574" s="46"/>
      <c r="L574" s="46"/>
      <c r="M574" s="46"/>
      <c r="N574" s="46"/>
      <c r="O574" s="46"/>
      <c r="P574" s="47"/>
      <c r="Q574" s="47"/>
      <c r="R574" s="47"/>
    </row>
    <row r="575" ht="14.25" customHeight="1">
      <c r="B575" s="46"/>
      <c r="L575" s="46"/>
      <c r="M575" s="46"/>
      <c r="N575" s="46"/>
      <c r="O575" s="46"/>
      <c r="P575" s="47"/>
      <c r="Q575" s="47"/>
      <c r="R575" s="47"/>
    </row>
    <row r="576" ht="14.25" customHeight="1">
      <c r="B576" s="46"/>
      <c r="L576" s="46"/>
      <c r="M576" s="46"/>
      <c r="N576" s="46"/>
      <c r="O576" s="46"/>
      <c r="P576" s="47"/>
      <c r="Q576" s="47"/>
      <c r="R576" s="47"/>
    </row>
    <row r="577" ht="14.25" customHeight="1">
      <c r="B577" s="46"/>
      <c r="L577" s="46"/>
      <c r="M577" s="46"/>
      <c r="N577" s="46"/>
      <c r="O577" s="46"/>
      <c r="P577" s="47"/>
      <c r="Q577" s="47"/>
      <c r="R577" s="47"/>
    </row>
    <row r="578" ht="14.25" customHeight="1">
      <c r="B578" s="46"/>
      <c r="L578" s="46"/>
      <c r="M578" s="46"/>
      <c r="N578" s="46"/>
      <c r="O578" s="46"/>
      <c r="P578" s="47"/>
      <c r="Q578" s="47"/>
      <c r="R578" s="47"/>
    </row>
    <row r="579" ht="14.25" customHeight="1">
      <c r="B579" s="46"/>
      <c r="L579" s="46"/>
      <c r="M579" s="46"/>
      <c r="N579" s="46"/>
      <c r="O579" s="46"/>
      <c r="P579" s="47"/>
      <c r="Q579" s="47"/>
      <c r="R579" s="47"/>
    </row>
    <row r="580" ht="14.25" customHeight="1">
      <c r="B580" s="46"/>
      <c r="L580" s="46"/>
      <c r="M580" s="46"/>
      <c r="N580" s="46"/>
      <c r="O580" s="46"/>
      <c r="P580" s="47"/>
      <c r="Q580" s="47"/>
      <c r="R580" s="47"/>
    </row>
    <row r="581" ht="14.25" customHeight="1">
      <c r="B581" s="46"/>
      <c r="L581" s="46"/>
      <c r="M581" s="46"/>
      <c r="N581" s="46"/>
      <c r="O581" s="46"/>
      <c r="P581" s="47"/>
      <c r="Q581" s="47"/>
      <c r="R581" s="47"/>
    </row>
    <row r="582" ht="14.25" customHeight="1">
      <c r="B582" s="46"/>
      <c r="L582" s="46"/>
      <c r="M582" s="46"/>
      <c r="N582" s="46"/>
      <c r="O582" s="46"/>
      <c r="P582" s="47"/>
      <c r="Q582" s="47"/>
      <c r="R582" s="47"/>
    </row>
    <row r="583" ht="14.25" customHeight="1">
      <c r="B583" s="46"/>
      <c r="L583" s="46"/>
      <c r="M583" s="46"/>
      <c r="N583" s="46"/>
      <c r="O583" s="46"/>
      <c r="P583" s="47"/>
      <c r="Q583" s="47"/>
      <c r="R583" s="47"/>
    </row>
    <row r="584" ht="14.25" customHeight="1">
      <c r="B584" s="46"/>
      <c r="L584" s="46"/>
      <c r="M584" s="46"/>
      <c r="N584" s="46"/>
      <c r="O584" s="46"/>
      <c r="P584" s="47"/>
      <c r="Q584" s="47"/>
      <c r="R584" s="47"/>
    </row>
    <row r="585" ht="14.25" customHeight="1">
      <c r="B585" s="46"/>
      <c r="L585" s="46"/>
      <c r="M585" s="46"/>
      <c r="N585" s="46"/>
      <c r="O585" s="46"/>
      <c r="P585" s="47"/>
      <c r="Q585" s="47"/>
      <c r="R585" s="47"/>
    </row>
    <row r="586" ht="14.25" customHeight="1">
      <c r="B586" s="46"/>
      <c r="L586" s="46"/>
      <c r="M586" s="46"/>
      <c r="N586" s="46"/>
      <c r="O586" s="46"/>
      <c r="P586" s="47"/>
      <c r="Q586" s="47"/>
      <c r="R586" s="47"/>
    </row>
    <row r="587" ht="14.25" customHeight="1">
      <c r="B587" s="46"/>
      <c r="L587" s="46"/>
      <c r="M587" s="46"/>
      <c r="N587" s="46"/>
      <c r="O587" s="46"/>
      <c r="P587" s="47"/>
      <c r="Q587" s="47"/>
      <c r="R587" s="47"/>
    </row>
    <row r="588" ht="14.25" customHeight="1">
      <c r="B588" s="46"/>
      <c r="L588" s="46"/>
      <c r="M588" s="46"/>
      <c r="N588" s="46"/>
      <c r="O588" s="46"/>
      <c r="P588" s="47"/>
      <c r="Q588" s="47"/>
      <c r="R588" s="47"/>
    </row>
    <row r="589" ht="14.25" customHeight="1">
      <c r="B589" s="46"/>
      <c r="L589" s="46"/>
      <c r="M589" s="46"/>
      <c r="N589" s="46"/>
      <c r="O589" s="46"/>
      <c r="P589" s="47"/>
      <c r="Q589" s="47"/>
      <c r="R589" s="47"/>
    </row>
    <row r="590" ht="14.25" customHeight="1">
      <c r="B590" s="46"/>
      <c r="L590" s="46"/>
      <c r="M590" s="46"/>
      <c r="N590" s="46"/>
      <c r="O590" s="46"/>
      <c r="P590" s="47"/>
      <c r="Q590" s="47"/>
      <c r="R590" s="47"/>
    </row>
    <row r="591" ht="14.25" customHeight="1">
      <c r="B591" s="46"/>
      <c r="L591" s="46"/>
      <c r="M591" s="46"/>
      <c r="N591" s="46"/>
      <c r="O591" s="46"/>
      <c r="P591" s="47"/>
      <c r="Q591" s="47"/>
      <c r="R591" s="47"/>
    </row>
    <row r="592" ht="14.25" customHeight="1">
      <c r="B592" s="46"/>
      <c r="L592" s="46"/>
      <c r="M592" s="46"/>
      <c r="N592" s="46"/>
      <c r="O592" s="46"/>
      <c r="P592" s="47"/>
      <c r="Q592" s="47"/>
      <c r="R592" s="47"/>
    </row>
    <row r="593" ht="14.25" customHeight="1">
      <c r="B593" s="46"/>
      <c r="L593" s="46"/>
      <c r="M593" s="46"/>
      <c r="N593" s="46"/>
      <c r="O593" s="46"/>
      <c r="P593" s="47"/>
      <c r="Q593" s="47"/>
      <c r="R593" s="47"/>
    </row>
    <row r="594" ht="14.25" customHeight="1">
      <c r="B594" s="46"/>
      <c r="L594" s="46"/>
      <c r="M594" s="46"/>
      <c r="N594" s="46"/>
      <c r="O594" s="46"/>
      <c r="P594" s="47"/>
      <c r="Q594" s="47"/>
      <c r="R594" s="47"/>
    </row>
    <row r="595" ht="14.25" customHeight="1">
      <c r="B595" s="46"/>
      <c r="L595" s="46"/>
      <c r="M595" s="46"/>
      <c r="N595" s="46"/>
      <c r="O595" s="46"/>
      <c r="P595" s="47"/>
      <c r="Q595" s="47"/>
      <c r="R595" s="47"/>
    </row>
    <row r="596" ht="14.25" customHeight="1">
      <c r="B596" s="46"/>
      <c r="L596" s="46"/>
      <c r="M596" s="46"/>
      <c r="N596" s="46"/>
      <c r="O596" s="46"/>
      <c r="P596" s="47"/>
      <c r="Q596" s="47"/>
      <c r="R596" s="47"/>
    </row>
    <row r="597" ht="14.25" customHeight="1">
      <c r="B597" s="46"/>
      <c r="L597" s="46"/>
      <c r="M597" s="46"/>
      <c r="N597" s="46"/>
      <c r="O597" s="46"/>
      <c r="P597" s="47"/>
      <c r="Q597" s="47"/>
      <c r="R597" s="47"/>
    </row>
    <row r="598" ht="14.25" customHeight="1">
      <c r="B598" s="46"/>
      <c r="L598" s="46"/>
      <c r="M598" s="46"/>
      <c r="N598" s="46"/>
      <c r="O598" s="46"/>
      <c r="P598" s="47"/>
      <c r="Q598" s="47"/>
      <c r="R598" s="47"/>
    </row>
    <row r="599" ht="14.25" customHeight="1">
      <c r="B599" s="46"/>
      <c r="L599" s="46"/>
      <c r="M599" s="46"/>
      <c r="N599" s="46"/>
      <c r="O599" s="46"/>
      <c r="P599" s="47"/>
      <c r="Q599" s="47"/>
      <c r="R599" s="47"/>
    </row>
    <row r="600" ht="14.25" customHeight="1">
      <c r="B600" s="46"/>
      <c r="L600" s="46"/>
      <c r="M600" s="46"/>
      <c r="N600" s="46"/>
      <c r="O600" s="46"/>
      <c r="P600" s="47"/>
      <c r="Q600" s="47"/>
      <c r="R600" s="47"/>
    </row>
    <row r="601" ht="14.25" customHeight="1">
      <c r="B601" s="46"/>
      <c r="L601" s="46"/>
      <c r="M601" s="46"/>
      <c r="N601" s="46"/>
      <c r="O601" s="46"/>
      <c r="P601" s="47"/>
      <c r="Q601" s="47"/>
      <c r="R601" s="47"/>
    </row>
    <row r="602" ht="14.25" customHeight="1">
      <c r="B602" s="46"/>
      <c r="L602" s="46"/>
      <c r="M602" s="46"/>
      <c r="N602" s="46"/>
      <c r="O602" s="46"/>
      <c r="P602" s="47"/>
      <c r="Q602" s="47"/>
      <c r="R602" s="47"/>
    </row>
    <row r="603" ht="14.25" customHeight="1">
      <c r="B603" s="46"/>
      <c r="L603" s="46"/>
      <c r="M603" s="46"/>
      <c r="N603" s="46"/>
      <c r="O603" s="46"/>
      <c r="P603" s="47"/>
      <c r="Q603" s="47"/>
      <c r="R603" s="47"/>
    </row>
    <row r="604" ht="14.25" customHeight="1">
      <c r="B604" s="46"/>
      <c r="L604" s="46"/>
      <c r="M604" s="46"/>
      <c r="N604" s="46"/>
      <c r="O604" s="46"/>
      <c r="P604" s="47"/>
      <c r="Q604" s="47"/>
      <c r="R604" s="47"/>
    </row>
    <row r="605" ht="14.25" customHeight="1">
      <c r="B605" s="46"/>
      <c r="L605" s="46"/>
      <c r="M605" s="46"/>
      <c r="N605" s="46"/>
      <c r="O605" s="46"/>
      <c r="P605" s="47"/>
      <c r="Q605" s="47"/>
      <c r="R605" s="47"/>
    </row>
    <row r="606" ht="14.25" customHeight="1">
      <c r="B606" s="46"/>
      <c r="L606" s="46"/>
      <c r="M606" s="46"/>
      <c r="N606" s="46"/>
      <c r="O606" s="46"/>
      <c r="P606" s="47"/>
      <c r="Q606" s="47"/>
      <c r="R606" s="47"/>
    </row>
    <row r="607" ht="14.25" customHeight="1">
      <c r="B607" s="46"/>
      <c r="L607" s="46"/>
      <c r="M607" s="46"/>
      <c r="N607" s="46"/>
      <c r="O607" s="46"/>
      <c r="P607" s="47"/>
      <c r="Q607" s="47"/>
      <c r="R607" s="47"/>
    </row>
    <row r="608" ht="14.25" customHeight="1">
      <c r="B608" s="46"/>
      <c r="L608" s="46"/>
      <c r="M608" s="46"/>
      <c r="N608" s="46"/>
      <c r="O608" s="46"/>
      <c r="P608" s="47"/>
      <c r="Q608" s="47"/>
      <c r="R608" s="47"/>
    </row>
    <row r="609" ht="14.25" customHeight="1">
      <c r="B609" s="46"/>
      <c r="L609" s="46"/>
      <c r="M609" s="46"/>
      <c r="N609" s="46"/>
      <c r="O609" s="46"/>
      <c r="P609" s="47"/>
      <c r="Q609" s="47"/>
      <c r="R609" s="47"/>
    </row>
    <row r="610" ht="14.25" customHeight="1">
      <c r="B610" s="46"/>
      <c r="L610" s="46"/>
      <c r="M610" s="46"/>
      <c r="N610" s="46"/>
      <c r="O610" s="46"/>
      <c r="P610" s="47"/>
      <c r="Q610" s="47"/>
      <c r="R610" s="47"/>
    </row>
    <row r="611" ht="14.25" customHeight="1">
      <c r="B611" s="46"/>
      <c r="L611" s="46"/>
      <c r="M611" s="46"/>
      <c r="N611" s="46"/>
      <c r="O611" s="46"/>
      <c r="P611" s="47"/>
      <c r="Q611" s="47"/>
      <c r="R611" s="47"/>
    </row>
    <row r="612" ht="14.25" customHeight="1">
      <c r="B612" s="46"/>
      <c r="L612" s="46"/>
      <c r="M612" s="46"/>
      <c r="N612" s="46"/>
      <c r="O612" s="46"/>
      <c r="P612" s="47"/>
      <c r="Q612" s="47"/>
      <c r="R612" s="47"/>
    </row>
    <row r="613" ht="14.25" customHeight="1">
      <c r="B613" s="46"/>
      <c r="L613" s="46"/>
      <c r="M613" s="46"/>
      <c r="N613" s="46"/>
      <c r="O613" s="46"/>
      <c r="P613" s="47"/>
      <c r="Q613" s="47"/>
      <c r="R613" s="47"/>
    </row>
    <row r="614" ht="14.25" customHeight="1">
      <c r="B614" s="46"/>
      <c r="L614" s="46"/>
      <c r="M614" s="46"/>
      <c r="N614" s="46"/>
      <c r="O614" s="46"/>
      <c r="P614" s="47"/>
      <c r="Q614" s="47"/>
      <c r="R614" s="47"/>
    </row>
    <row r="615" ht="14.25" customHeight="1">
      <c r="B615" s="46"/>
      <c r="L615" s="46"/>
      <c r="M615" s="46"/>
      <c r="N615" s="46"/>
      <c r="O615" s="46"/>
      <c r="P615" s="47"/>
      <c r="Q615" s="47"/>
      <c r="R615" s="47"/>
    </row>
    <row r="616" ht="14.25" customHeight="1">
      <c r="B616" s="46"/>
      <c r="L616" s="46"/>
      <c r="M616" s="46"/>
      <c r="N616" s="46"/>
      <c r="O616" s="46"/>
      <c r="P616" s="47"/>
      <c r="Q616" s="47"/>
      <c r="R616" s="47"/>
    </row>
    <row r="617" ht="14.25" customHeight="1">
      <c r="B617" s="46"/>
      <c r="L617" s="46"/>
      <c r="M617" s="46"/>
      <c r="N617" s="46"/>
      <c r="O617" s="46"/>
      <c r="P617" s="47"/>
      <c r="Q617" s="47"/>
      <c r="R617" s="47"/>
    </row>
    <row r="618" ht="14.25" customHeight="1">
      <c r="B618" s="46"/>
      <c r="L618" s="46"/>
      <c r="M618" s="46"/>
      <c r="N618" s="46"/>
      <c r="O618" s="46"/>
      <c r="P618" s="47"/>
      <c r="Q618" s="47"/>
      <c r="R618" s="47"/>
    </row>
    <row r="619" ht="14.25" customHeight="1">
      <c r="B619" s="46"/>
      <c r="L619" s="46"/>
      <c r="M619" s="46"/>
      <c r="N619" s="46"/>
      <c r="O619" s="46"/>
      <c r="P619" s="47"/>
      <c r="Q619" s="47"/>
      <c r="R619" s="47"/>
    </row>
    <row r="620" ht="14.25" customHeight="1">
      <c r="B620" s="46"/>
      <c r="L620" s="46"/>
      <c r="M620" s="46"/>
      <c r="N620" s="46"/>
      <c r="O620" s="46"/>
      <c r="P620" s="47"/>
      <c r="Q620" s="47"/>
      <c r="R620" s="47"/>
    </row>
    <row r="621" ht="14.25" customHeight="1">
      <c r="B621" s="46"/>
      <c r="L621" s="46"/>
      <c r="M621" s="46"/>
      <c r="N621" s="46"/>
      <c r="O621" s="46"/>
      <c r="P621" s="47"/>
      <c r="Q621" s="47"/>
      <c r="R621" s="47"/>
    </row>
    <row r="622" ht="14.25" customHeight="1">
      <c r="B622" s="46"/>
      <c r="L622" s="46"/>
      <c r="M622" s="46"/>
      <c r="N622" s="46"/>
      <c r="O622" s="46"/>
      <c r="P622" s="47"/>
      <c r="Q622" s="47"/>
      <c r="R622" s="47"/>
    </row>
    <row r="623" ht="14.25" customHeight="1">
      <c r="B623" s="46"/>
      <c r="L623" s="46"/>
      <c r="M623" s="46"/>
      <c r="N623" s="46"/>
      <c r="O623" s="46"/>
      <c r="P623" s="47"/>
      <c r="Q623" s="47"/>
      <c r="R623" s="47"/>
    </row>
    <row r="624" ht="14.25" customHeight="1">
      <c r="B624" s="46"/>
      <c r="L624" s="46"/>
      <c r="M624" s="46"/>
      <c r="N624" s="46"/>
      <c r="O624" s="46"/>
      <c r="P624" s="47"/>
      <c r="Q624" s="47"/>
      <c r="R624" s="47"/>
    </row>
    <row r="625" ht="14.25" customHeight="1">
      <c r="B625" s="46"/>
      <c r="L625" s="46"/>
      <c r="M625" s="46"/>
      <c r="N625" s="46"/>
      <c r="O625" s="46"/>
      <c r="P625" s="47"/>
      <c r="Q625" s="47"/>
      <c r="R625" s="47"/>
    </row>
    <row r="626" ht="14.25" customHeight="1">
      <c r="B626" s="46"/>
      <c r="L626" s="46"/>
      <c r="M626" s="46"/>
      <c r="N626" s="46"/>
      <c r="O626" s="46"/>
      <c r="P626" s="47"/>
      <c r="Q626" s="47"/>
      <c r="R626" s="47"/>
    </row>
    <row r="627" ht="14.25" customHeight="1">
      <c r="B627" s="46"/>
      <c r="L627" s="46"/>
      <c r="M627" s="46"/>
      <c r="N627" s="46"/>
      <c r="O627" s="46"/>
      <c r="P627" s="47"/>
      <c r="Q627" s="47"/>
      <c r="R627" s="47"/>
    </row>
    <row r="628" ht="14.25" customHeight="1">
      <c r="B628" s="46"/>
      <c r="L628" s="46"/>
      <c r="M628" s="46"/>
      <c r="N628" s="46"/>
      <c r="O628" s="46"/>
      <c r="P628" s="47"/>
      <c r="Q628" s="47"/>
      <c r="R628" s="47"/>
    </row>
    <row r="629" ht="14.25" customHeight="1">
      <c r="B629" s="46"/>
      <c r="L629" s="46"/>
      <c r="M629" s="46"/>
      <c r="N629" s="46"/>
      <c r="O629" s="46"/>
      <c r="P629" s="47"/>
      <c r="Q629" s="47"/>
      <c r="R629" s="47"/>
    </row>
    <row r="630" ht="14.25" customHeight="1">
      <c r="B630" s="46"/>
      <c r="L630" s="46"/>
      <c r="M630" s="46"/>
      <c r="N630" s="46"/>
      <c r="O630" s="46"/>
      <c r="P630" s="47"/>
      <c r="Q630" s="47"/>
      <c r="R630" s="47"/>
    </row>
    <row r="631" ht="14.25" customHeight="1">
      <c r="B631" s="46"/>
      <c r="L631" s="46"/>
      <c r="M631" s="46"/>
      <c r="N631" s="46"/>
      <c r="O631" s="46"/>
      <c r="P631" s="47"/>
      <c r="Q631" s="47"/>
      <c r="R631" s="47"/>
    </row>
    <row r="632" ht="14.25" customHeight="1">
      <c r="B632" s="46"/>
      <c r="L632" s="46"/>
      <c r="M632" s="46"/>
      <c r="N632" s="46"/>
      <c r="O632" s="46"/>
      <c r="P632" s="47"/>
      <c r="Q632" s="47"/>
      <c r="R632" s="47"/>
    </row>
    <row r="633" ht="14.25" customHeight="1">
      <c r="B633" s="46"/>
      <c r="L633" s="46"/>
      <c r="M633" s="46"/>
      <c r="N633" s="46"/>
      <c r="O633" s="46"/>
      <c r="P633" s="47"/>
      <c r="Q633" s="47"/>
      <c r="R633" s="47"/>
    </row>
    <row r="634" ht="14.25" customHeight="1">
      <c r="B634" s="46"/>
      <c r="L634" s="46"/>
      <c r="M634" s="46"/>
      <c r="N634" s="46"/>
      <c r="O634" s="46"/>
      <c r="P634" s="47"/>
      <c r="Q634" s="47"/>
      <c r="R634" s="47"/>
    </row>
    <row r="635" ht="14.25" customHeight="1">
      <c r="B635" s="46"/>
      <c r="L635" s="46"/>
      <c r="M635" s="46"/>
      <c r="N635" s="46"/>
      <c r="O635" s="46"/>
      <c r="P635" s="47"/>
      <c r="Q635" s="47"/>
      <c r="R635" s="47"/>
    </row>
    <row r="636" ht="14.25" customHeight="1">
      <c r="B636" s="46"/>
      <c r="L636" s="46"/>
      <c r="M636" s="46"/>
      <c r="N636" s="46"/>
      <c r="O636" s="46"/>
      <c r="P636" s="47"/>
      <c r="Q636" s="47"/>
      <c r="R636" s="47"/>
    </row>
    <row r="637" ht="14.25" customHeight="1">
      <c r="B637" s="46"/>
      <c r="L637" s="46"/>
      <c r="M637" s="46"/>
      <c r="N637" s="46"/>
      <c r="O637" s="46"/>
      <c r="P637" s="47"/>
      <c r="Q637" s="47"/>
      <c r="R637" s="47"/>
    </row>
    <row r="638" ht="14.25" customHeight="1">
      <c r="B638" s="46"/>
      <c r="L638" s="46"/>
      <c r="M638" s="46"/>
      <c r="N638" s="46"/>
      <c r="O638" s="46"/>
      <c r="P638" s="47"/>
      <c r="Q638" s="47"/>
      <c r="R638" s="47"/>
    </row>
    <row r="639" ht="14.25" customHeight="1">
      <c r="B639" s="46"/>
      <c r="L639" s="46"/>
      <c r="M639" s="46"/>
      <c r="N639" s="46"/>
      <c r="O639" s="46"/>
      <c r="P639" s="47"/>
      <c r="Q639" s="47"/>
      <c r="R639" s="47"/>
    </row>
    <row r="640" ht="14.25" customHeight="1">
      <c r="B640" s="46"/>
      <c r="L640" s="46"/>
      <c r="M640" s="46"/>
      <c r="N640" s="46"/>
      <c r="O640" s="46"/>
      <c r="P640" s="47"/>
      <c r="Q640" s="47"/>
      <c r="R640" s="47"/>
    </row>
    <row r="641" ht="14.25" customHeight="1">
      <c r="B641" s="46"/>
      <c r="L641" s="46"/>
      <c r="M641" s="46"/>
      <c r="N641" s="46"/>
      <c r="O641" s="46"/>
      <c r="P641" s="47"/>
      <c r="Q641" s="47"/>
      <c r="R641" s="47"/>
    </row>
    <row r="642" ht="14.25" customHeight="1">
      <c r="B642" s="46"/>
      <c r="L642" s="46"/>
      <c r="M642" s="46"/>
      <c r="N642" s="46"/>
      <c r="O642" s="46"/>
      <c r="P642" s="47"/>
      <c r="Q642" s="47"/>
      <c r="R642" s="47"/>
    </row>
    <row r="643" ht="14.25" customHeight="1">
      <c r="B643" s="46"/>
      <c r="L643" s="46"/>
      <c r="M643" s="46"/>
      <c r="N643" s="46"/>
      <c r="O643" s="46"/>
      <c r="P643" s="47"/>
      <c r="Q643" s="47"/>
      <c r="R643" s="47"/>
    </row>
    <row r="644" ht="14.25" customHeight="1">
      <c r="B644" s="46"/>
      <c r="L644" s="46"/>
      <c r="M644" s="46"/>
      <c r="N644" s="46"/>
      <c r="O644" s="46"/>
      <c r="P644" s="47"/>
      <c r="Q644" s="47"/>
      <c r="R644" s="47"/>
    </row>
    <row r="645" ht="14.25" customHeight="1">
      <c r="B645" s="46"/>
      <c r="L645" s="46"/>
      <c r="M645" s="46"/>
      <c r="N645" s="46"/>
      <c r="O645" s="46"/>
      <c r="P645" s="47"/>
      <c r="Q645" s="47"/>
      <c r="R645" s="47"/>
    </row>
    <row r="646" ht="14.25" customHeight="1">
      <c r="B646" s="46"/>
      <c r="L646" s="46"/>
      <c r="M646" s="46"/>
      <c r="N646" s="46"/>
      <c r="O646" s="46"/>
      <c r="P646" s="47"/>
      <c r="Q646" s="47"/>
      <c r="R646" s="47"/>
    </row>
    <row r="647" ht="14.25" customHeight="1">
      <c r="B647" s="46"/>
      <c r="L647" s="46"/>
      <c r="M647" s="46"/>
      <c r="N647" s="46"/>
      <c r="O647" s="46"/>
      <c r="P647" s="47"/>
      <c r="Q647" s="47"/>
      <c r="R647" s="47"/>
    </row>
    <row r="648" ht="14.25" customHeight="1">
      <c r="B648" s="46"/>
      <c r="L648" s="46"/>
      <c r="M648" s="46"/>
      <c r="N648" s="46"/>
      <c r="O648" s="46"/>
      <c r="P648" s="47"/>
      <c r="Q648" s="47"/>
      <c r="R648" s="47"/>
    </row>
    <row r="649" ht="14.25" customHeight="1">
      <c r="B649" s="46"/>
      <c r="L649" s="46"/>
      <c r="M649" s="46"/>
      <c r="N649" s="46"/>
      <c r="O649" s="46"/>
      <c r="P649" s="47"/>
      <c r="Q649" s="47"/>
      <c r="R649" s="47"/>
    </row>
    <row r="650" ht="14.25" customHeight="1">
      <c r="B650" s="46"/>
      <c r="L650" s="46"/>
      <c r="M650" s="46"/>
      <c r="N650" s="46"/>
      <c r="O650" s="46"/>
      <c r="P650" s="47"/>
      <c r="Q650" s="47"/>
      <c r="R650" s="47"/>
    </row>
    <row r="651" ht="14.25" customHeight="1">
      <c r="B651" s="46"/>
      <c r="L651" s="46"/>
      <c r="M651" s="46"/>
      <c r="N651" s="46"/>
      <c r="O651" s="46"/>
      <c r="P651" s="47"/>
      <c r="Q651" s="47"/>
      <c r="R651" s="47"/>
    </row>
    <row r="652" ht="14.25" customHeight="1">
      <c r="B652" s="46"/>
      <c r="L652" s="46"/>
      <c r="M652" s="46"/>
      <c r="N652" s="46"/>
      <c r="O652" s="46"/>
      <c r="P652" s="47"/>
      <c r="Q652" s="47"/>
      <c r="R652" s="47"/>
    </row>
    <row r="653" ht="14.25" customHeight="1">
      <c r="B653" s="46"/>
      <c r="L653" s="46"/>
      <c r="M653" s="46"/>
      <c r="N653" s="46"/>
      <c r="O653" s="46"/>
      <c r="P653" s="47"/>
      <c r="Q653" s="47"/>
      <c r="R653" s="47"/>
    </row>
    <row r="654" ht="14.25" customHeight="1">
      <c r="B654" s="46"/>
      <c r="L654" s="46"/>
      <c r="M654" s="46"/>
      <c r="N654" s="46"/>
      <c r="O654" s="46"/>
      <c r="P654" s="47"/>
      <c r="Q654" s="47"/>
      <c r="R654" s="47"/>
    </row>
    <row r="655" ht="14.25" customHeight="1">
      <c r="B655" s="46"/>
      <c r="L655" s="46"/>
      <c r="M655" s="46"/>
      <c r="N655" s="46"/>
      <c r="O655" s="46"/>
      <c r="P655" s="47"/>
      <c r="Q655" s="47"/>
      <c r="R655" s="47"/>
    </row>
    <row r="656" ht="14.25" customHeight="1">
      <c r="B656" s="46"/>
      <c r="L656" s="46"/>
      <c r="M656" s="46"/>
      <c r="N656" s="46"/>
      <c r="O656" s="46"/>
      <c r="P656" s="47"/>
      <c r="Q656" s="47"/>
      <c r="R656" s="47"/>
    </row>
    <row r="657" ht="14.25" customHeight="1">
      <c r="B657" s="46"/>
      <c r="L657" s="46"/>
      <c r="M657" s="46"/>
      <c r="N657" s="46"/>
      <c r="O657" s="46"/>
      <c r="P657" s="47"/>
      <c r="Q657" s="47"/>
      <c r="R657" s="47"/>
    </row>
    <row r="658" ht="14.25" customHeight="1">
      <c r="B658" s="46"/>
      <c r="L658" s="46"/>
      <c r="M658" s="46"/>
      <c r="N658" s="46"/>
      <c r="O658" s="46"/>
      <c r="P658" s="47"/>
      <c r="Q658" s="47"/>
      <c r="R658" s="47"/>
    </row>
    <row r="659" ht="14.25" customHeight="1">
      <c r="B659" s="46"/>
      <c r="L659" s="46"/>
      <c r="M659" s="46"/>
      <c r="N659" s="46"/>
      <c r="O659" s="46"/>
      <c r="P659" s="47"/>
      <c r="Q659" s="47"/>
      <c r="R659" s="47"/>
    </row>
    <row r="660" ht="14.25" customHeight="1">
      <c r="B660" s="46"/>
      <c r="L660" s="46"/>
      <c r="M660" s="46"/>
      <c r="N660" s="46"/>
      <c r="O660" s="46"/>
      <c r="P660" s="47"/>
      <c r="Q660" s="47"/>
      <c r="R660" s="47"/>
    </row>
    <row r="661" ht="14.25" customHeight="1">
      <c r="B661" s="46"/>
      <c r="L661" s="46"/>
      <c r="M661" s="46"/>
      <c r="N661" s="46"/>
      <c r="O661" s="46"/>
      <c r="P661" s="47"/>
      <c r="Q661" s="47"/>
      <c r="R661" s="47"/>
    </row>
    <row r="662" ht="14.25" customHeight="1">
      <c r="B662" s="46"/>
      <c r="L662" s="46"/>
      <c r="M662" s="46"/>
      <c r="N662" s="46"/>
      <c r="O662" s="46"/>
      <c r="P662" s="47"/>
      <c r="Q662" s="47"/>
      <c r="R662" s="47"/>
    </row>
    <row r="663" ht="14.25" customHeight="1">
      <c r="B663" s="46"/>
      <c r="L663" s="46"/>
      <c r="M663" s="46"/>
      <c r="N663" s="46"/>
      <c r="O663" s="46"/>
      <c r="P663" s="47"/>
      <c r="Q663" s="47"/>
      <c r="R663" s="47"/>
    </row>
    <row r="664" ht="14.25" customHeight="1">
      <c r="B664" s="46"/>
      <c r="L664" s="46"/>
      <c r="M664" s="46"/>
      <c r="N664" s="46"/>
      <c r="O664" s="46"/>
      <c r="P664" s="47"/>
      <c r="Q664" s="47"/>
      <c r="R664" s="47"/>
    </row>
    <row r="665" ht="14.25" customHeight="1">
      <c r="B665" s="46"/>
      <c r="L665" s="46"/>
      <c r="M665" s="46"/>
      <c r="N665" s="46"/>
      <c r="O665" s="46"/>
      <c r="P665" s="47"/>
      <c r="Q665" s="47"/>
      <c r="R665" s="47"/>
    </row>
    <row r="666" ht="14.25" customHeight="1">
      <c r="B666" s="46"/>
      <c r="L666" s="46"/>
      <c r="M666" s="46"/>
      <c r="N666" s="46"/>
      <c r="O666" s="46"/>
      <c r="P666" s="47"/>
      <c r="Q666" s="47"/>
      <c r="R666" s="47"/>
    </row>
    <row r="667" ht="14.25" customHeight="1">
      <c r="B667" s="46"/>
      <c r="L667" s="46"/>
      <c r="M667" s="46"/>
      <c r="N667" s="46"/>
      <c r="O667" s="46"/>
      <c r="P667" s="47"/>
      <c r="Q667" s="47"/>
      <c r="R667" s="47"/>
    </row>
    <row r="668" ht="14.25" customHeight="1">
      <c r="B668" s="46"/>
      <c r="L668" s="46"/>
      <c r="M668" s="46"/>
      <c r="N668" s="46"/>
      <c r="O668" s="46"/>
      <c r="P668" s="47"/>
      <c r="Q668" s="47"/>
      <c r="R668" s="47"/>
    </row>
    <row r="669" ht="14.25" customHeight="1">
      <c r="B669" s="46"/>
      <c r="L669" s="46"/>
      <c r="M669" s="46"/>
      <c r="N669" s="46"/>
      <c r="O669" s="46"/>
      <c r="P669" s="47"/>
      <c r="Q669" s="47"/>
      <c r="R669" s="47"/>
    </row>
    <row r="670" ht="14.25" customHeight="1">
      <c r="B670" s="46"/>
      <c r="L670" s="46"/>
      <c r="M670" s="46"/>
      <c r="N670" s="46"/>
      <c r="O670" s="46"/>
      <c r="P670" s="47"/>
      <c r="Q670" s="47"/>
      <c r="R670" s="47"/>
    </row>
    <row r="671" ht="14.25" customHeight="1">
      <c r="B671" s="46"/>
      <c r="L671" s="46"/>
      <c r="M671" s="46"/>
      <c r="N671" s="46"/>
      <c r="O671" s="46"/>
      <c r="P671" s="47"/>
      <c r="Q671" s="47"/>
      <c r="R671" s="47"/>
    </row>
    <row r="672" ht="14.25" customHeight="1">
      <c r="B672" s="46"/>
      <c r="L672" s="46"/>
      <c r="M672" s="46"/>
      <c r="N672" s="46"/>
      <c r="O672" s="46"/>
      <c r="P672" s="47"/>
      <c r="Q672" s="47"/>
      <c r="R672" s="47"/>
    </row>
    <row r="673" ht="14.25" customHeight="1">
      <c r="B673" s="46"/>
      <c r="L673" s="46"/>
      <c r="M673" s="46"/>
      <c r="N673" s="46"/>
      <c r="O673" s="46"/>
      <c r="P673" s="47"/>
      <c r="Q673" s="47"/>
      <c r="R673" s="47"/>
    </row>
    <row r="674" ht="14.25" customHeight="1">
      <c r="B674" s="46"/>
      <c r="L674" s="46"/>
      <c r="M674" s="46"/>
      <c r="N674" s="46"/>
      <c r="O674" s="46"/>
      <c r="P674" s="47"/>
      <c r="Q674" s="47"/>
      <c r="R674" s="47"/>
    </row>
    <row r="675" ht="14.25" customHeight="1">
      <c r="B675" s="46"/>
      <c r="L675" s="46"/>
      <c r="M675" s="46"/>
      <c r="N675" s="46"/>
      <c r="O675" s="46"/>
      <c r="P675" s="47"/>
      <c r="Q675" s="47"/>
      <c r="R675" s="47"/>
    </row>
    <row r="676" ht="14.25" customHeight="1">
      <c r="B676" s="46"/>
      <c r="L676" s="46"/>
      <c r="M676" s="46"/>
      <c r="N676" s="46"/>
      <c r="O676" s="46"/>
      <c r="P676" s="47"/>
      <c r="Q676" s="47"/>
      <c r="R676" s="47"/>
    </row>
    <row r="677" ht="14.25" customHeight="1">
      <c r="B677" s="46"/>
      <c r="L677" s="46"/>
      <c r="M677" s="46"/>
      <c r="N677" s="46"/>
      <c r="O677" s="46"/>
      <c r="P677" s="47"/>
      <c r="Q677" s="47"/>
      <c r="R677" s="47"/>
    </row>
    <row r="678" ht="14.25" customHeight="1">
      <c r="B678" s="46"/>
      <c r="L678" s="46"/>
      <c r="M678" s="46"/>
      <c r="N678" s="46"/>
      <c r="O678" s="46"/>
      <c r="P678" s="47"/>
      <c r="Q678" s="47"/>
      <c r="R678" s="47"/>
    </row>
    <row r="679" ht="14.25" customHeight="1">
      <c r="B679" s="46"/>
      <c r="L679" s="46"/>
      <c r="M679" s="46"/>
      <c r="N679" s="46"/>
      <c r="O679" s="46"/>
      <c r="P679" s="47"/>
      <c r="Q679" s="47"/>
      <c r="R679" s="47"/>
    </row>
    <row r="680" ht="14.25" customHeight="1">
      <c r="B680" s="46"/>
      <c r="L680" s="46"/>
      <c r="M680" s="46"/>
      <c r="N680" s="46"/>
      <c r="O680" s="46"/>
      <c r="P680" s="47"/>
      <c r="Q680" s="47"/>
      <c r="R680" s="47"/>
    </row>
    <row r="681" ht="14.25" customHeight="1">
      <c r="B681" s="46"/>
      <c r="L681" s="46"/>
      <c r="M681" s="46"/>
      <c r="N681" s="46"/>
      <c r="O681" s="46"/>
      <c r="P681" s="47"/>
      <c r="Q681" s="47"/>
      <c r="R681" s="47"/>
    </row>
    <row r="682" ht="14.25" customHeight="1">
      <c r="B682" s="46"/>
      <c r="L682" s="46"/>
      <c r="M682" s="46"/>
      <c r="N682" s="46"/>
      <c r="O682" s="46"/>
      <c r="P682" s="47"/>
      <c r="Q682" s="47"/>
      <c r="R682" s="47"/>
    </row>
    <row r="683" ht="14.25" customHeight="1">
      <c r="B683" s="46"/>
      <c r="L683" s="46"/>
      <c r="M683" s="46"/>
      <c r="N683" s="46"/>
      <c r="O683" s="46"/>
      <c r="P683" s="47"/>
      <c r="Q683" s="47"/>
      <c r="R683" s="47"/>
    </row>
    <row r="684" ht="14.25" customHeight="1">
      <c r="B684" s="46"/>
      <c r="L684" s="46"/>
      <c r="M684" s="46"/>
      <c r="N684" s="46"/>
      <c r="O684" s="46"/>
      <c r="P684" s="47"/>
      <c r="Q684" s="47"/>
      <c r="R684" s="47"/>
    </row>
    <row r="685" ht="14.25" customHeight="1">
      <c r="B685" s="46"/>
      <c r="L685" s="46"/>
      <c r="M685" s="46"/>
      <c r="N685" s="46"/>
      <c r="O685" s="46"/>
      <c r="P685" s="47"/>
      <c r="Q685" s="47"/>
      <c r="R685" s="47"/>
    </row>
    <row r="686" ht="14.25" customHeight="1">
      <c r="B686" s="46"/>
      <c r="L686" s="46"/>
      <c r="M686" s="46"/>
      <c r="N686" s="46"/>
      <c r="O686" s="46"/>
      <c r="P686" s="47"/>
      <c r="Q686" s="47"/>
      <c r="R686" s="47"/>
    </row>
    <row r="687" ht="14.25" customHeight="1">
      <c r="B687" s="46"/>
      <c r="L687" s="46"/>
      <c r="M687" s="46"/>
      <c r="N687" s="46"/>
      <c r="O687" s="46"/>
      <c r="P687" s="47"/>
      <c r="Q687" s="47"/>
      <c r="R687" s="47"/>
    </row>
    <row r="688" ht="14.25" customHeight="1">
      <c r="B688" s="46"/>
      <c r="L688" s="46"/>
      <c r="M688" s="46"/>
      <c r="N688" s="46"/>
      <c r="O688" s="46"/>
      <c r="P688" s="47"/>
      <c r="Q688" s="47"/>
      <c r="R688" s="47"/>
    </row>
    <row r="689" ht="14.25" customHeight="1">
      <c r="B689" s="46"/>
      <c r="L689" s="46"/>
      <c r="M689" s="46"/>
      <c r="N689" s="46"/>
      <c r="O689" s="46"/>
      <c r="P689" s="47"/>
      <c r="Q689" s="47"/>
      <c r="R689" s="47"/>
    </row>
    <row r="690" ht="14.25" customHeight="1">
      <c r="B690" s="46"/>
      <c r="L690" s="46"/>
      <c r="M690" s="46"/>
      <c r="N690" s="46"/>
      <c r="O690" s="46"/>
      <c r="P690" s="47"/>
      <c r="Q690" s="47"/>
      <c r="R690" s="47"/>
    </row>
    <row r="691" ht="14.25" customHeight="1">
      <c r="B691" s="46"/>
      <c r="L691" s="46"/>
      <c r="M691" s="46"/>
      <c r="N691" s="46"/>
      <c r="O691" s="46"/>
      <c r="P691" s="47"/>
      <c r="Q691" s="47"/>
      <c r="R691" s="47"/>
    </row>
    <row r="692" ht="14.25" customHeight="1">
      <c r="B692" s="46"/>
      <c r="L692" s="46"/>
      <c r="M692" s="46"/>
      <c r="N692" s="46"/>
      <c r="O692" s="46"/>
      <c r="P692" s="47"/>
      <c r="Q692" s="47"/>
      <c r="R692" s="47"/>
    </row>
    <row r="693" ht="14.25" customHeight="1">
      <c r="B693" s="46"/>
      <c r="L693" s="46"/>
      <c r="M693" s="46"/>
      <c r="N693" s="46"/>
      <c r="O693" s="46"/>
      <c r="P693" s="47"/>
      <c r="Q693" s="47"/>
      <c r="R693" s="47"/>
    </row>
    <row r="694" ht="14.25" customHeight="1">
      <c r="B694" s="46"/>
      <c r="L694" s="46"/>
      <c r="M694" s="46"/>
      <c r="N694" s="46"/>
      <c r="O694" s="46"/>
      <c r="P694" s="47"/>
      <c r="Q694" s="47"/>
      <c r="R694" s="47"/>
    </row>
    <row r="695" ht="14.25" customHeight="1">
      <c r="B695" s="46"/>
      <c r="L695" s="46"/>
      <c r="M695" s="46"/>
      <c r="N695" s="46"/>
      <c r="O695" s="46"/>
      <c r="P695" s="47"/>
      <c r="Q695" s="47"/>
      <c r="R695" s="47"/>
    </row>
    <row r="696" ht="14.25" customHeight="1">
      <c r="B696" s="46"/>
      <c r="L696" s="46"/>
      <c r="M696" s="46"/>
      <c r="N696" s="46"/>
      <c r="O696" s="46"/>
      <c r="P696" s="47"/>
      <c r="Q696" s="47"/>
      <c r="R696" s="47"/>
    </row>
    <row r="697" ht="14.25" customHeight="1">
      <c r="B697" s="46"/>
      <c r="L697" s="46"/>
      <c r="M697" s="46"/>
      <c r="N697" s="46"/>
      <c r="O697" s="46"/>
      <c r="P697" s="47"/>
      <c r="Q697" s="47"/>
      <c r="R697" s="47"/>
    </row>
    <row r="698" ht="14.25" customHeight="1">
      <c r="B698" s="46"/>
      <c r="L698" s="46"/>
      <c r="M698" s="46"/>
      <c r="N698" s="46"/>
      <c r="O698" s="46"/>
      <c r="P698" s="47"/>
      <c r="Q698" s="47"/>
      <c r="R698" s="47"/>
    </row>
    <row r="699" ht="14.25" customHeight="1">
      <c r="B699" s="46"/>
      <c r="L699" s="46"/>
      <c r="M699" s="46"/>
      <c r="N699" s="46"/>
      <c r="O699" s="46"/>
      <c r="P699" s="47"/>
      <c r="Q699" s="47"/>
      <c r="R699" s="47"/>
    </row>
    <row r="700" ht="14.25" customHeight="1">
      <c r="B700" s="46"/>
      <c r="L700" s="46"/>
      <c r="M700" s="46"/>
      <c r="N700" s="46"/>
      <c r="O700" s="46"/>
      <c r="P700" s="47"/>
      <c r="Q700" s="47"/>
      <c r="R700" s="47"/>
    </row>
    <row r="701" ht="14.25" customHeight="1">
      <c r="B701" s="46"/>
      <c r="L701" s="46"/>
      <c r="M701" s="46"/>
      <c r="N701" s="46"/>
      <c r="O701" s="46"/>
      <c r="P701" s="47"/>
      <c r="Q701" s="47"/>
      <c r="R701" s="47"/>
    </row>
    <row r="702" ht="14.25" customHeight="1">
      <c r="B702" s="46"/>
      <c r="L702" s="46"/>
      <c r="M702" s="46"/>
      <c r="N702" s="46"/>
      <c r="O702" s="46"/>
      <c r="P702" s="47"/>
      <c r="Q702" s="47"/>
      <c r="R702" s="47"/>
    </row>
    <row r="703" ht="14.25" customHeight="1">
      <c r="B703" s="46"/>
      <c r="L703" s="46"/>
      <c r="M703" s="46"/>
      <c r="N703" s="46"/>
      <c r="O703" s="46"/>
      <c r="P703" s="47"/>
      <c r="Q703" s="47"/>
      <c r="R703" s="47"/>
    </row>
    <row r="704" ht="14.25" customHeight="1">
      <c r="B704" s="46"/>
      <c r="L704" s="46"/>
      <c r="M704" s="46"/>
      <c r="N704" s="46"/>
      <c r="O704" s="46"/>
      <c r="P704" s="47"/>
      <c r="Q704" s="47"/>
      <c r="R704" s="47"/>
    </row>
    <row r="705" ht="14.25" customHeight="1">
      <c r="B705" s="46"/>
      <c r="L705" s="46"/>
      <c r="M705" s="46"/>
      <c r="N705" s="46"/>
      <c r="O705" s="46"/>
      <c r="P705" s="47"/>
      <c r="Q705" s="47"/>
      <c r="R705" s="47"/>
    </row>
    <row r="706" ht="14.25" customHeight="1">
      <c r="B706" s="46"/>
      <c r="L706" s="46"/>
      <c r="M706" s="46"/>
      <c r="N706" s="46"/>
      <c r="O706" s="46"/>
      <c r="P706" s="47"/>
      <c r="Q706" s="47"/>
      <c r="R706" s="47"/>
    </row>
    <row r="707" ht="14.25" customHeight="1">
      <c r="B707" s="46"/>
      <c r="L707" s="46"/>
      <c r="M707" s="46"/>
      <c r="N707" s="46"/>
      <c r="O707" s="46"/>
      <c r="P707" s="47"/>
      <c r="Q707" s="47"/>
      <c r="R707" s="47"/>
    </row>
    <row r="708" ht="14.25" customHeight="1">
      <c r="B708" s="46"/>
      <c r="L708" s="46"/>
      <c r="M708" s="46"/>
      <c r="N708" s="46"/>
      <c r="O708" s="46"/>
      <c r="P708" s="47"/>
      <c r="Q708" s="47"/>
      <c r="R708" s="47"/>
    </row>
    <row r="709" ht="14.25" customHeight="1">
      <c r="B709" s="46"/>
      <c r="L709" s="46"/>
      <c r="M709" s="46"/>
      <c r="N709" s="46"/>
      <c r="O709" s="46"/>
      <c r="P709" s="47"/>
      <c r="Q709" s="47"/>
      <c r="R709" s="47"/>
    </row>
    <row r="710" ht="14.25" customHeight="1">
      <c r="B710" s="46"/>
      <c r="L710" s="46"/>
      <c r="M710" s="46"/>
      <c r="N710" s="46"/>
      <c r="O710" s="46"/>
      <c r="P710" s="47"/>
      <c r="Q710" s="47"/>
      <c r="R710" s="47"/>
    </row>
    <row r="711" ht="14.25" customHeight="1">
      <c r="B711" s="46"/>
      <c r="L711" s="46"/>
      <c r="M711" s="46"/>
      <c r="N711" s="46"/>
      <c r="O711" s="46"/>
      <c r="P711" s="47"/>
      <c r="Q711" s="47"/>
      <c r="R711" s="47"/>
    </row>
    <row r="712" ht="14.25" customHeight="1">
      <c r="B712" s="46"/>
      <c r="L712" s="46"/>
      <c r="M712" s="46"/>
      <c r="N712" s="46"/>
      <c r="O712" s="46"/>
      <c r="P712" s="47"/>
      <c r="Q712" s="47"/>
      <c r="R712" s="47"/>
    </row>
    <row r="713" ht="14.25" customHeight="1">
      <c r="B713" s="46"/>
      <c r="L713" s="46"/>
      <c r="M713" s="46"/>
      <c r="N713" s="46"/>
      <c r="O713" s="46"/>
      <c r="P713" s="47"/>
      <c r="Q713" s="47"/>
      <c r="R713" s="47"/>
    </row>
    <row r="714" ht="14.25" customHeight="1">
      <c r="B714" s="46"/>
      <c r="L714" s="46"/>
      <c r="M714" s="46"/>
      <c r="N714" s="46"/>
      <c r="O714" s="46"/>
      <c r="P714" s="47"/>
      <c r="Q714" s="47"/>
      <c r="R714" s="47"/>
    </row>
    <row r="715" ht="14.25" customHeight="1">
      <c r="B715" s="46"/>
      <c r="L715" s="46"/>
      <c r="M715" s="46"/>
      <c r="N715" s="46"/>
      <c r="O715" s="46"/>
      <c r="P715" s="47"/>
      <c r="Q715" s="47"/>
      <c r="R715" s="47"/>
    </row>
    <row r="716" ht="14.25" customHeight="1">
      <c r="B716" s="46"/>
      <c r="L716" s="46"/>
      <c r="M716" s="46"/>
      <c r="N716" s="46"/>
      <c r="O716" s="46"/>
      <c r="P716" s="47"/>
      <c r="Q716" s="47"/>
      <c r="R716" s="47"/>
    </row>
    <row r="717" ht="14.25" customHeight="1">
      <c r="B717" s="46"/>
      <c r="L717" s="46"/>
      <c r="M717" s="46"/>
      <c r="N717" s="46"/>
      <c r="O717" s="46"/>
      <c r="P717" s="47"/>
      <c r="Q717" s="47"/>
      <c r="R717" s="47"/>
    </row>
    <row r="718" ht="14.25" customHeight="1">
      <c r="B718" s="46"/>
      <c r="L718" s="46"/>
      <c r="M718" s="46"/>
      <c r="N718" s="46"/>
      <c r="O718" s="46"/>
      <c r="P718" s="47"/>
      <c r="Q718" s="47"/>
      <c r="R718" s="47"/>
    </row>
    <row r="719" ht="14.25" customHeight="1">
      <c r="B719" s="46"/>
      <c r="L719" s="46"/>
      <c r="M719" s="46"/>
      <c r="N719" s="46"/>
      <c r="O719" s="46"/>
      <c r="P719" s="47"/>
      <c r="Q719" s="47"/>
      <c r="R719" s="47"/>
    </row>
    <row r="720" ht="14.25" customHeight="1">
      <c r="B720" s="46"/>
      <c r="L720" s="46"/>
      <c r="M720" s="46"/>
      <c r="N720" s="46"/>
      <c r="O720" s="46"/>
      <c r="P720" s="47"/>
      <c r="Q720" s="47"/>
      <c r="R720" s="47"/>
    </row>
    <row r="721" ht="14.25" customHeight="1">
      <c r="B721" s="46"/>
      <c r="L721" s="46"/>
      <c r="M721" s="46"/>
      <c r="N721" s="46"/>
      <c r="O721" s="46"/>
      <c r="P721" s="47"/>
      <c r="Q721" s="47"/>
      <c r="R721" s="47"/>
    </row>
    <row r="722" ht="14.25" customHeight="1">
      <c r="B722" s="46"/>
      <c r="L722" s="46"/>
      <c r="M722" s="46"/>
      <c r="N722" s="46"/>
      <c r="O722" s="46"/>
      <c r="P722" s="47"/>
      <c r="Q722" s="47"/>
      <c r="R722" s="47"/>
    </row>
    <row r="723" ht="14.25" customHeight="1">
      <c r="B723" s="46"/>
      <c r="L723" s="46"/>
      <c r="M723" s="46"/>
      <c r="N723" s="46"/>
      <c r="O723" s="46"/>
      <c r="P723" s="47"/>
      <c r="Q723" s="47"/>
      <c r="R723" s="47"/>
    </row>
    <row r="724" ht="14.25" customHeight="1">
      <c r="B724" s="46"/>
      <c r="L724" s="46"/>
      <c r="M724" s="46"/>
      <c r="N724" s="46"/>
      <c r="O724" s="46"/>
      <c r="P724" s="47"/>
      <c r="Q724" s="47"/>
      <c r="R724" s="47"/>
    </row>
    <row r="725" ht="14.25" customHeight="1">
      <c r="B725" s="46"/>
      <c r="L725" s="46"/>
      <c r="M725" s="46"/>
      <c r="N725" s="46"/>
      <c r="O725" s="46"/>
      <c r="P725" s="47"/>
      <c r="Q725" s="47"/>
      <c r="R725" s="47"/>
    </row>
    <row r="726" ht="14.25" customHeight="1">
      <c r="B726" s="46"/>
      <c r="L726" s="46"/>
      <c r="M726" s="46"/>
      <c r="N726" s="46"/>
      <c r="O726" s="46"/>
      <c r="P726" s="47"/>
      <c r="Q726" s="47"/>
      <c r="R726" s="47"/>
    </row>
    <row r="727" ht="14.25" customHeight="1">
      <c r="B727" s="46"/>
      <c r="L727" s="46"/>
      <c r="M727" s="46"/>
      <c r="N727" s="46"/>
      <c r="O727" s="46"/>
      <c r="P727" s="47"/>
      <c r="Q727" s="47"/>
      <c r="R727" s="47"/>
    </row>
    <row r="728" ht="14.25" customHeight="1">
      <c r="B728" s="46"/>
      <c r="L728" s="46"/>
      <c r="M728" s="46"/>
      <c r="N728" s="46"/>
      <c r="O728" s="46"/>
      <c r="P728" s="47"/>
      <c r="Q728" s="47"/>
      <c r="R728" s="47"/>
    </row>
    <row r="729" ht="14.25" customHeight="1">
      <c r="B729" s="46"/>
      <c r="L729" s="46"/>
      <c r="M729" s="46"/>
      <c r="N729" s="46"/>
      <c r="O729" s="46"/>
      <c r="P729" s="47"/>
      <c r="Q729" s="47"/>
      <c r="R729" s="47"/>
    </row>
    <row r="730" ht="14.25" customHeight="1">
      <c r="B730" s="46"/>
      <c r="L730" s="46"/>
      <c r="M730" s="46"/>
      <c r="N730" s="46"/>
      <c r="O730" s="46"/>
      <c r="P730" s="47"/>
      <c r="Q730" s="47"/>
      <c r="R730" s="47"/>
    </row>
    <row r="731" ht="14.25" customHeight="1">
      <c r="B731" s="46"/>
      <c r="L731" s="46"/>
      <c r="M731" s="46"/>
      <c r="N731" s="46"/>
      <c r="O731" s="46"/>
      <c r="P731" s="47"/>
      <c r="Q731" s="47"/>
      <c r="R731" s="47"/>
    </row>
    <row r="732" ht="14.25" customHeight="1">
      <c r="B732" s="46"/>
      <c r="L732" s="46"/>
      <c r="M732" s="46"/>
      <c r="N732" s="46"/>
      <c r="O732" s="46"/>
      <c r="P732" s="47"/>
      <c r="Q732" s="47"/>
      <c r="R732" s="47"/>
    </row>
    <row r="733" ht="14.25" customHeight="1">
      <c r="B733" s="46"/>
      <c r="L733" s="46"/>
      <c r="M733" s="46"/>
      <c r="N733" s="46"/>
      <c r="O733" s="46"/>
      <c r="P733" s="47"/>
      <c r="Q733" s="47"/>
      <c r="R733" s="47"/>
    </row>
    <row r="734" ht="14.25" customHeight="1">
      <c r="B734" s="46"/>
      <c r="L734" s="46"/>
      <c r="M734" s="46"/>
      <c r="N734" s="46"/>
      <c r="O734" s="46"/>
      <c r="P734" s="47"/>
      <c r="Q734" s="47"/>
      <c r="R734" s="47"/>
    </row>
    <row r="735" ht="14.25" customHeight="1">
      <c r="B735" s="46"/>
      <c r="L735" s="46"/>
      <c r="M735" s="46"/>
      <c r="N735" s="46"/>
      <c r="O735" s="46"/>
      <c r="P735" s="47"/>
      <c r="Q735" s="47"/>
      <c r="R735" s="47"/>
    </row>
    <row r="736" ht="14.25" customHeight="1">
      <c r="B736" s="46"/>
      <c r="L736" s="46"/>
      <c r="M736" s="46"/>
      <c r="N736" s="46"/>
      <c r="O736" s="46"/>
      <c r="P736" s="47"/>
      <c r="Q736" s="47"/>
      <c r="R736" s="47"/>
    </row>
    <row r="737" ht="14.25" customHeight="1">
      <c r="B737" s="46"/>
      <c r="L737" s="46"/>
      <c r="M737" s="46"/>
      <c r="N737" s="46"/>
      <c r="O737" s="46"/>
      <c r="P737" s="47"/>
      <c r="Q737" s="47"/>
      <c r="R737" s="47"/>
    </row>
    <row r="738" ht="14.25" customHeight="1">
      <c r="B738" s="46"/>
      <c r="L738" s="46"/>
      <c r="M738" s="46"/>
      <c r="N738" s="46"/>
      <c r="O738" s="46"/>
      <c r="P738" s="47"/>
      <c r="Q738" s="47"/>
      <c r="R738" s="47"/>
    </row>
    <row r="739" ht="14.25" customHeight="1">
      <c r="B739" s="46"/>
      <c r="L739" s="46"/>
      <c r="M739" s="46"/>
      <c r="N739" s="46"/>
      <c r="O739" s="46"/>
      <c r="P739" s="47"/>
      <c r="Q739" s="47"/>
      <c r="R739" s="47"/>
    </row>
    <row r="740" ht="14.25" customHeight="1">
      <c r="B740" s="46"/>
      <c r="L740" s="46"/>
      <c r="M740" s="46"/>
      <c r="N740" s="46"/>
      <c r="O740" s="46"/>
      <c r="P740" s="47"/>
      <c r="Q740" s="47"/>
      <c r="R740" s="47"/>
    </row>
    <row r="741" ht="14.25" customHeight="1">
      <c r="B741" s="46"/>
      <c r="L741" s="46"/>
      <c r="M741" s="46"/>
      <c r="N741" s="46"/>
      <c r="O741" s="46"/>
      <c r="P741" s="47"/>
      <c r="Q741" s="47"/>
      <c r="R741" s="47"/>
    </row>
    <row r="742" ht="14.25" customHeight="1">
      <c r="B742" s="46"/>
      <c r="L742" s="46"/>
      <c r="M742" s="46"/>
      <c r="N742" s="46"/>
      <c r="O742" s="46"/>
      <c r="P742" s="47"/>
      <c r="Q742" s="47"/>
      <c r="R742" s="47"/>
    </row>
    <row r="743" ht="14.25" customHeight="1">
      <c r="B743" s="46"/>
      <c r="L743" s="46"/>
      <c r="M743" s="46"/>
      <c r="N743" s="46"/>
      <c r="O743" s="46"/>
      <c r="P743" s="47"/>
      <c r="Q743" s="47"/>
      <c r="R743" s="47"/>
    </row>
    <row r="744" ht="14.25" customHeight="1">
      <c r="B744" s="46"/>
      <c r="L744" s="46"/>
      <c r="M744" s="46"/>
      <c r="N744" s="46"/>
      <c r="O744" s="46"/>
      <c r="P744" s="47"/>
      <c r="Q744" s="47"/>
      <c r="R744" s="47"/>
    </row>
    <row r="745" ht="14.25" customHeight="1">
      <c r="B745" s="46"/>
      <c r="L745" s="46"/>
      <c r="M745" s="46"/>
      <c r="N745" s="46"/>
      <c r="O745" s="46"/>
      <c r="P745" s="47"/>
      <c r="Q745" s="47"/>
      <c r="R745" s="47"/>
    </row>
    <row r="746" ht="14.25" customHeight="1">
      <c r="B746" s="46"/>
      <c r="L746" s="46"/>
      <c r="M746" s="46"/>
      <c r="N746" s="46"/>
      <c r="O746" s="46"/>
      <c r="P746" s="47"/>
      <c r="Q746" s="47"/>
      <c r="R746" s="47"/>
    </row>
    <row r="747" ht="14.25" customHeight="1">
      <c r="B747" s="46"/>
      <c r="L747" s="46"/>
      <c r="M747" s="46"/>
      <c r="N747" s="46"/>
      <c r="O747" s="46"/>
      <c r="P747" s="47"/>
      <c r="Q747" s="47"/>
      <c r="R747" s="47"/>
    </row>
    <row r="748" ht="14.25" customHeight="1">
      <c r="B748" s="46"/>
      <c r="L748" s="46"/>
      <c r="M748" s="46"/>
      <c r="N748" s="46"/>
      <c r="O748" s="46"/>
      <c r="P748" s="47"/>
      <c r="Q748" s="47"/>
      <c r="R748" s="47"/>
    </row>
    <row r="749" ht="14.25" customHeight="1">
      <c r="B749" s="46"/>
      <c r="L749" s="46"/>
      <c r="M749" s="46"/>
      <c r="N749" s="46"/>
      <c r="O749" s="46"/>
      <c r="P749" s="47"/>
      <c r="Q749" s="47"/>
      <c r="R749" s="47"/>
    </row>
    <row r="750" ht="14.25" customHeight="1">
      <c r="B750" s="46"/>
      <c r="L750" s="46"/>
      <c r="M750" s="46"/>
      <c r="N750" s="46"/>
      <c r="O750" s="46"/>
      <c r="P750" s="47"/>
      <c r="Q750" s="47"/>
      <c r="R750" s="47"/>
    </row>
    <row r="751" ht="14.25" customHeight="1">
      <c r="B751" s="46"/>
      <c r="L751" s="46"/>
      <c r="M751" s="46"/>
      <c r="N751" s="46"/>
      <c r="O751" s="46"/>
      <c r="P751" s="47"/>
      <c r="Q751" s="47"/>
      <c r="R751" s="47"/>
    </row>
    <row r="752" ht="14.25" customHeight="1">
      <c r="B752" s="46"/>
      <c r="L752" s="46"/>
      <c r="M752" s="46"/>
      <c r="N752" s="46"/>
      <c r="O752" s="46"/>
      <c r="P752" s="47"/>
      <c r="Q752" s="47"/>
      <c r="R752" s="47"/>
    </row>
    <row r="753" ht="14.25" customHeight="1">
      <c r="B753" s="46"/>
      <c r="L753" s="46"/>
      <c r="M753" s="46"/>
      <c r="N753" s="46"/>
      <c r="O753" s="46"/>
      <c r="P753" s="47"/>
      <c r="Q753" s="47"/>
      <c r="R753" s="47"/>
    </row>
    <row r="754" ht="14.25" customHeight="1">
      <c r="B754" s="46"/>
      <c r="L754" s="46"/>
      <c r="M754" s="46"/>
      <c r="N754" s="46"/>
      <c r="O754" s="46"/>
      <c r="P754" s="47"/>
      <c r="Q754" s="47"/>
      <c r="R754" s="47"/>
    </row>
    <row r="755" ht="14.25" customHeight="1">
      <c r="B755" s="46"/>
      <c r="L755" s="46"/>
      <c r="M755" s="46"/>
      <c r="N755" s="46"/>
      <c r="O755" s="46"/>
      <c r="P755" s="47"/>
      <c r="Q755" s="47"/>
      <c r="R755" s="47"/>
    </row>
    <row r="756" ht="14.25" customHeight="1">
      <c r="B756" s="46"/>
      <c r="L756" s="46"/>
      <c r="M756" s="46"/>
      <c r="N756" s="46"/>
      <c r="O756" s="46"/>
      <c r="P756" s="47"/>
      <c r="Q756" s="47"/>
      <c r="R756" s="47"/>
    </row>
    <row r="757" ht="14.25" customHeight="1">
      <c r="B757" s="46"/>
      <c r="L757" s="46"/>
      <c r="M757" s="46"/>
      <c r="N757" s="46"/>
      <c r="O757" s="46"/>
      <c r="P757" s="47"/>
      <c r="Q757" s="47"/>
      <c r="R757" s="47"/>
    </row>
    <row r="758" ht="14.25" customHeight="1">
      <c r="B758" s="46"/>
      <c r="L758" s="46"/>
      <c r="M758" s="46"/>
      <c r="N758" s="46"/>
      <c r="O758" s="46"/>
      <c r="P758" s="47"/>
      <c r="Q758" s="47"/>
      <c r="R758" s="47"/>
    </row>
    <row r="759" ht="14.25" customHeight="1">
      <c r="B759" s="46"/>
      <c r="L759" s="46"/>
      <c r="M759" s="46"/>
      <c r="N759" s="46"/>
      <c r="O759" s="46"/>
      <c r="P759" s="47"/>
      <c r="Q759" s="47"/>
      <c r="R759" s="47"/>
    </row>
    <row r="760" ht="14.25" customHeight="1">
      <c r="B760" s="46"/>
      <c r="L760" s="46"/>
      <c r="M760" s="46"/>
      <c r="N760" s="46"/>
      <c r="O760" s="46"/>
      <c r="P760" s="47"/>
      <c r="Q760" s="47"/>
      <c r="R760" s="47"/>
    </row>
    <row r="761" ht="14.25" customHeight="1">
      <c r="B761" s="46"/>
      <c r="L761" s="46"/>
      <c r="M761" s="46"/>
      <c r="N761" s="46"/>
      <c r="O761" s="46"/>
      <c r="P761" s="47"/>
      <c r="Q761" s="47"/>
      <c r="R761" s="47"/>
    </row>
    <row r="762" ht="14.25" customHeight="1">
      <c r="B762" s="46"/>
      <c r="L762" s="46"/>
      <c r="M762" s="46"/>
      <c r="N762" s="46"/>
      <c r="O762" s="46"/>
      <c r="P762" s="47"/>
      <c r="Q762" s="47"/>
      <c r="R762" s="47"/>
    </row>
    <row r="763" ht="14.25" customHeight="1">
      <c r="B763" s="46"/>
      <c r="L763" s="46"/>
      <c r="M763" s="46"/>
      <c r="N763" s="46"/>
      <c r="O763" s="46"/>
      <c r="P763" s="47"/>
      <c r="Q763" s="47"/>
      <c r="R763" s="47"/>
    </row>
    <row r="764" ht="14.25" customHeight="1">
      <c r="B764" s="46"/>
      <c r="L764" s="46"/>
      <c r="M764" s="46"/>
      <c r="N764" s="46"/>
      <c r="O764" s="46"/>
      <c r="P764" s="47"/>
      <c r="Q764" s="47"/>
      <c r="R764" s="47"/>
    </row>
    <row r="765" ht="14.25" customHeight="1">
      <c r="B765" s="46"/>
      <c r="L765" s="46"/>
      <c r="M765" s="46"/>
      <c r="N765" s="46"/>
      <c r="O765" s="46"/>
      <c r="P765" s="47"/>
      <c r="Q765" s="47"/>
      <c r="R765" s="47"/>
    </row>
    <row r="766" ht="14.25" customHeight="1">
      <c r="B766" s="46"/>
      <c r="L766" s="46"/>
      <c r="M766" s="46"/>
      <c r="N766" s="46"/>
      <c r="O766" s="46"/>
      <c r="P766" s="47"/>
      <c r="Q766" s="47"/>
      <c r="R766" s="47"/>
    </row>
    <row r="767" ht="14.25" customHeight="1">
      <c r="B767" s="46"/>
      <c r="L767" s="46"/>
      <c r="M767" s="46"/>
      <c r="N767" s="46"/>
      <c r="O767" s="46"/>
      <c r="P767" s="47"/>
      <c r="Q767" s="47"/>
      <c r="R767" s="47"/>
    </row>
    <row r="768" ht="14.25" customHeight="1">
      <c r="B768" s="46"/>
      <c r="L768" s="46"/>
      <c r="M768" s="46"/>
      <c r="N768" s="46"/>
      <c r="O768" s="46"/>
      <c r="P768" s="47"/>
      <c r="Q768" s="47"/>
      <c r="R768" s="47"/>
    </row>
    <row r="769" ht="14.25" customHeight="1">
      <c r="B769" s="46"/>
      <c r="L769" s="46"/>
      <c r="M769" s="46"/>
      <c r="N769" s="46"/>
      <c r="O769" s="46"/>
      <c r="P769" s="47"/>
      <c r="Q769" s="47"/>
      <c r="R769" s="47"/>
    </row>
    <row r="770" ht="14.25" customHeight="1">
      <c r="B770" s="46"/>
      <c r="L770" s="46"/>
      <c r="M770" s="46"/>
      <c r="N770" s="46"/>
      <c r="O770" s="46"/>
      <c r="P770" s="47"/>
      <c r="Q770" s="47"/>
      <c r="R770" s="47"/>
    </row>
    <row r="771" ht="14.25" customHeight="1">
      <c r="B771" s="46"/>
      <c r="L771" s="46"/>
      <c r="M771" s="46"/>
      <c r="N771" s="46"/>
      <c r="O771" s="46"/>
      <c r="P771" s="47"/>
      <c r="Q771" s="47"/>
      <c r="R771" s="47"/>
    </row>
    <row r="772" ht="14.25" customHeight="1">
      <c r="B772" s="46"/>
      <c r="L772" s="46"/>
      <c r="M772" s="46"/>
      <c r="N772" s="46"/>
      <c r="O772" s="46"/>
      <c r="P772" s="47"/>
      <c r="Q772" s="47"/>
      <c r="R772" s="47"/>
    </row>
    <row r="773" ht="14.25" customHeight="1">
      <c r="B773" s="46"/>
      <c r="L773" s="46"/>
      <c r="M773" s="46"/>
      <c r="N773" s="46"/>
      <c r="O773" s="46"/>
      <c r="P773" s="47"/>
      <c r="Q773" s="47"/>
      <c r="R773" s="47"/>
    </row>
    <row r="774" ht="14.25" customHeight="1">
      <c r="B774" s="46"/>
      <c r="L774" s="46"/>
      <c r="M774" s="46"/>
      <c r="N774" s="46"/>
      <c r="O774" s="46"/>
      <c r="P774" s="47"/>
      <c r="Q774" s="47"/>
      <c r="R774" s="47"/>
    </row>
    <row r="775" ht="14.25" customHeight="1">
      <c r="B775" s="46"/>
      <c r="L775" s="46"/>
      <c r="M775" s="46"/>
      <c r="N775" s="46"/>
      <c r="O775" s="46"/>
      <c r="P775" s="47"/>
      <c r="Q775" s="47"/>
      <c r="R775" s="47"/>
    </row>
    <row r="776" ht="14.25" customHeight="1">
      <c r="B776" s="46"/>
      <c r="L776" s="46"/>
      <c r="M776" s="46"/>
      <c r="N776" s="46"/>
      <c r="O776" s="46"/>
      <c r="P776" s="47"/>
      <c r="Q776" s="47"/>
      <c r="R776" s="47"/>
    </row>
    <row r="777" ht="14.25" customHeight="1">
      <c r="B777" s="46"/>
      <c r="L777" s="46"/>
      <c r="M777" s="46"/>
      <c r="N777" s="46"/>
      <c r="O777" s="46"/>
      <c r="P777" s="47"/>
      <c r="Q777" s="47"/>
      <c r="R777" s="47"/>
    </row>
    <row r="778" ht="14.25" customHeight="1">
      <c r="B778" s="46"/>
      <c r="L778" s="46"/>
      <c r="M778" s="46"/>
      <c r="N778" s="46"/>
      <c r="O778" s="46"/>
      <c r="P778" s="47"/>
      <c r="Q778" s="47"/>
      <c r="R778" s="47"/>
    </row>
    <row r="779" ht="14.25" customHeight="1">
      <c r="B779" s="46"/>
      <c r="L779" s="46"/>
      <c r="M779" s="46"/>
      <c r="N779" s="46"/>
      <c r="O779" s="46"/>
      <c r="P779" s="47"/>
      <c r="Q779" s="47"/>
      <c r="R779" s="47"/>
    </row>
    <row r="780" ht="14.25" customHeight="1">
      <c r="B780" s="46"/>
      <c r="L780" s="46"/>
      <c r="M780" s="46"/>
      <c r="N780" s="46"/>
      <c r="O780" s="46"/>
      <c r="P780" s="47"/>
      <c r="Q780" s="47"/>
      <c r="R780" s="47"/>
    </row>
    <row r="781" ht="14.25" customHeight="1">
      <c r="B781" s="46"/>
      <c r="L781" s="46"/>
      <c r="M781" s="46"/>
      <c r="N781" s="46"/>
      <c r="O781" s="46"/>
      <c r="P781" s="47"/>
      <c r="Q781" s="47"/>
      <c r="R781" s="47"/>
    </row>
    <row r="782" ht="14.25" customHeight="1">
      <c r="B782" s="46"/>
      <c r="L782" s="46"/>
      <c r="M782" s="46"/>
      <c r="N782" s="46"/>
      <c r="O782" s="46"/>
      <c r="P782" s="47"/>
      <c r="Q782" s="47"/>
      <c r="R782" s="47"/>
    </row>
    <row r="783" ht="14.25" customHeight="1">
      <c r="B783" s="46"/>
      <c r="L783" s="46"/>
      <c r="M783" s="46"/>
      <c r="N783" s="46"/>
      <c r="O783" s="46"/>
      <c r="P783" s="47"/>
      <c r="Q783" s="47"/>
      <c r="R783" s="47"/>
    </row>
    <row r="784" ht="14.25" customHeight="1">
      <c r="B784" s="46"/>
      <c r="L784" s="46"/>
      <c r="M784" s="46"/>
      <c r="N784" s="46"/>
      <c r="O784" s="46"/>
      <c r="P784" s="47"/>
      <c r="Q784" s="47"/>
      <c r="R784" s="47"/>
    </row>
    <row r="785" ht="14.25" customHeight="1">
      <c r="B785" s="46"/>
      <c r="L785" s="46"/>
      <c r="M785" s="46"/>
      <c r="N785" s="46"/>
      <c r="O785" s="46"/>
      <c r="P785" s="47"/>
      <c r="Q785" s="47"/>
      <c r="R785" s="47"/>
    </row>
    <row r="786" ht="14.25" customHeight="1">
      <c r="B786" s="46"/>
      <c r="L786" s="46"/>
      <c r="M786" s="46"/>
      <c r="N786" s="46"/>
      <c r="O786" s="46"/>
      <c r="P786" s="47"/>
      <c r="Q786" s="47"/>
      <c r="R786" s="47"/>
    </row>
    <row r="787" ht="14.25" customHeight="1">
      <c r="B787" s="46"/>
      <c r="L787" s="46"/>
      <c r="M787" s="46"/>
      <c r="N787" s="46"/>
      <c r="O787" s="46"/>
      <c r="P787" s="47"/>
      <c r="Q787" s="47"/>
      <c r="R787" s="47"/>
    </row>
    <row r="788" ht="14.25" customHeight="1">
      <c r="B788" s="46"/>
      <c r="L788" s="46"/>
      <c r="M788" s="46"/>
      <c r="N788" s="46"/>
      <c r="O788" s="46"/>
      <c r="P788" s="47"/>
      <c r="Q788" s="47"/>
      <c r="R788" s="47"/>
    </row>
    <row r="789" ht="14.25" customHeight="1">
      <c r="B789" s="46"/>
      <c r="L789" s="46"/>
      <c r="M789" s="46"/>
      <c r="N789" s="46"/>
      <c r="O789" s="46"/>
      <c r="P789" s="47"/>
      <c r="Q789" s="47"/>
      <c r="R789" s="47"/>
    </row>
    <row r="790" ht="14.25" customHeight="1">
      <c r="B790" s="46"/>
      <c r="L790" s="46"/>
      <c r="M790" s="46"/>
      <c r="N790" s="46"/>
      <c r="O790" s="46"/>
      <c r="P790" s="47"/>
      <c r="Q790" s="47"/>
      <c r="R790" s="47"/>
    </row>
    <row r="791" ht="14.25" customHeight="1">
      <c r="B791" s="46"/>
      <c r="L791" s="46"/>
      <c r="M791" s="46"/>
      <c r="N791" s="46"/>
      <c r="O791" s="46"/>
      <c r="P791" s="47"/>
      <c r="Q791" s="47"/>
      <c r="R791" s="47"/>
    </row>
    <row r="792" ht="14.25" customHeight="1">
      <c r="B792" s="46"/>
      <c r="L792" s="46"/>
      <c r="M792" s="46"/>
      <c r="N792" s="46"/>
      <c r="O792" s="46"/>
      <c r="P792" s="47"/>
      <c r="Q792" s="47"/>
      <c r="R792" s="47"/>
    </row>
    <row r="793" ht="14.25" customHeight="1">
      <c r="B793" s="46"/>
      <c r="L793" s="46"/>
      <c r="M793" s="46"/>
      <c r="N793" s="46"/>
      <c r="O793" s="46"/>
      <c r="P793" s="47"/>
      <c r="Q793" s="47"/>
      <c r="R793" s="47"/>
    </row>
    <row r="794" ht="14.25" customHeight="1">
      <c r="B794" s="46"/>
      <c r="L794" s="46"/>
      <c r="M794" s="46"/>
      <c r="N794" s="46"/>
      <c r="O794" s="46"/>
      <c r="P794" s="47"/>
      <c r="Q794" s="47"/>
      <c r="R794" s="47"/>
    </row>
    <row r="795" ht="14.25" customHeight="1">
      <c r="B795" s="46"/>
      <c r="L795" s="46"/>
      <c r="M795" s="46"/>
      <c r="N795" s="46"/>
      <c r="O795" s="46"/>
      <c r="P795" s="47"/>
      <c r="Q795" s="47"/>
      <c r="R795" s="47"/>
    </row>
    <row r="796" ht="14.25" customHeight="1">
      <c r="B796" s="46"/>
      <c r="L796" s="46"/>
      <c r="M796" s="46"/>
      <c r="N796" s="46"/>
      <c r="O796" s="46"/>
      <c r="P796" s="47"/>
      <c r="Q796" s="47"/>
      <c r="R796" s="47"/>
    </row>
    <row r="797" ht="14.25" customHeight="1">
      <c r="B797" s="46"/>
      <c r="L797" s="46"/>
      <c r="M797" s="46"/>
      <c r="N797" s="46"/>
      <c r="O797" s="46"/>
      <c r="P797" s="47"/>
      <c r="Q797" s="47"/>
      <c r="R797" s="47"/>
    </row>
    <row r="798" ht="14.25" customHeight="1">
      <c r="B798" s="46"/>
      <c r="L798" s="46"/>
      <c r="M798" s="46"/>
      <c r="N798" s="46"/>
      <c r="O798" s="46"/>
      <c r="P798" s="47"/>
      <c r="Q798" s="47"/>
      <c r="R798" s="47"/>
    </row>
    <row r="799" ht="14.25" customHeight="1">
      <c r="B799" s="46"/>
      <c r="L799" s="46"/>
      <c r="M799" s="46"/>
      <c r="N799" s="46"/>
      <c r="O799" s="46"/>
      <c r="P799" s="47"/>
      <c r="Q799" s="47"/>
      <c r="R799" s="47"/>
    </row>
    <row r="800" ht="14.25" customHeight="1">
      <c r="B800" s="46"/>
      <c r="L800" s="46"/>
      <c r="M800" s="46"/>
      <c r="N800" s="46"/>
      <c r="O800" s="46"/>
      <c r="P800" s="47"/>
      <c r="Q800" s="47"/>
      <c r="R800" s="47"/>
    </row>
    <row r="801" ht="14.25" customHeight="1">
      <c r="B801" s="46"/>
      <c r="L801" s="46"/>
      <c r="M801" s="46"/>
      <c r="N801" s="46"/>
      <c r="O801" s="46"/>
      <c r="P801" s="47"/>
      <c r="Q801" s="47"/>
      <c r="R801" s="47"/>
    </row>
    <row r="802" ht="14.25" customHeight="1">
      <c r="B802" s="46"/>
      <c r="L802" s="46"/>
      <c r="M802" s="46"/>
      <c r="N802" s="46"/>
      <c r="O802" s="46"/>
      <c r="P802" s="47"/>
      <c r="Q802" s="47"/>
      <c r="R802" s="47"/>
    </row>
    <row r="803" ht="14.25" customHeight="1">
      <c r="B803" s="46"/>
      <c r="L803" s="46"/>
      <c r="M803" s="46"/>
      <c r="N803" s="46"/>
      <c r="O803" s="46"/>
      <c r="P803" s="47"/>
      <c r="Q803" s="47"/>
      <c r="R803" s="47"/>
    </row>
    <row r="804" ht="14.25" customHeight="1">
      <c r="B804" s="46"/>
      <c r="L804" s="46"/>
      <c r="M804" s="46"/>
      <c r="N804" s="46"/>
      <c r="O804" s="46"/>
      <c r="P804" s="47"/>
      <c r="Q804" s="47"/>
      <c r="R804" s="47"/>
    </row>
    <row r="805" ht="14.25" customHeight="1">
      <c r="B805" s="46"/>
      <c r="L805" s="46"/>
      <c r="M805" s="46"/>
      <c r="N805" s="46"/>
      <c r="O805" s="46"/>
      <c r="P805" s="47"/>
      <c r="Q805" s="47"/>
      <c r="R805" s="47"/>
    </row>
    <row r="806" ht="14.25" customHeight="1">
      <c r="B806" s="46"/>
      <c r="L806" s="46"/>
      <c r="M806" s="46"/>
      <c r="N806" s="46"/>
      <c r="O806" s="46"/>
      <c r="P806" s="47"/>
      <c r="Q806" s="47"/>
      <c r="R806" s="47"/>
    </row>
    <row r="807" ht="14.25" customHeight="1">
      <c r="B807" s="46"/>
      <c r="L807" s="46"/>
      <c r="M807" s="46"/>
      <c r="N807" s="46"/>
      <c r="O807" s="46"/>
      <c r="P807" s="47"/>
      <c r="Q807" s="47"/>
      <c r="R807" s="47"/>
    </row>
    <row r="808" ht="14.25" customHeight="1">
      <c r="B808" s="46"/>
      <c r="L808" s="46"/>
      <c r="M808" s="46"/>
      <c r="N808" s="46"/>
      <c r="O808" s="46"/>
      <c r="P808" s="47"/>
      <c r="Q808" s="47"/>
      <c r="R808" s="47"/>
    </row>
    <row r="809" ht="14.25" customHeight="1">
      <c r="B809" s="46"/>
      <c r="L809" s="46"/>
      <c r="M809" s="46"/>
      <c r="N809" s="46"/>
      <c r="O809" s="46"/>
      <c r="P809" s="47"/>
      <c r="Q809" s="47"/>
      <c r="R809" s="47"/>
    </row>
    <row r="810" ht="14.25" customHeight="1">
      <c r="B810" s="46"/>
      <c r="L810" s="46"/>
      <c r="M810" s="46"/>
      <c r="N810" s="46"/>
      <c r="O810" s="46"/>
      <c r="P810" s="47"/>
      <c r="Q810" s="47"/>
      <c r="R810" s="47"/>
    </row>
    <row r="811" ht="14.25" customHeight="1">
      <c r="B811" s="46"/>
      <c r="L811" s="46"/>
      <c r="M811" s="46"/>
      <c r="N811" s="46"/>
      <c r="O811" s="46"/>
      <c r="P811" s="47"/>
      <c r="Q811" s="47"/>
      <c r="R811" s="47"/>
    </row>
    <row r="812" ht="14.25" customHeight="1">
      <c r="B812" s="46"/>
      <c r="L812" s="46"/>
      <c r="M812" s="46"/>
      <c r="N812" s="46"/>
      <c r="O812" s="46"/>
      <c r="P812" s="47"/>
      <c r="Q812" s="47"/>
      <c r="R812" s="47"/>
    </row>
    <row r="813" ht="14.25" customHeight="1">
      <c r="B813" s="46"/>
      <c r="L813" s="46"/>
      <c r="M813" s="46"/>
      <c r="N813" s="46"/>
      <c r="O813" s="46"/>
      <c r="P813" s="47"/>
      <c r="Q813" s="47"/>
      <c r="R813" s="47"/>
    </row>
    <row r="814" ht="14.25" customHeight="1">
      <c r="B814" s="46"/>
      <c r="L814" s="46"/>
      <c r="M814" s="46"/>
      <c r="N814" s="46"/>
      <c r="O814" s="46"/>
      <c r="P814" s="47"/>
      <c r="Q814" s="47"/>
      <c r="R814" s="47"/>
    </row>
    <row r="815" ht="14.25" customHeight="1">
      <c r="B815" s="46"/>
      <c r="L815" s="46"/>
      <c r="M815" s="46"/>
      <c r="N815" s="46"/>
      <c r="O815" s="46"/>
      <c r="P815" s="47"/>
      <c r="Q815" s="47"/>
      <c r="R815" s="47"/>
    </row>
    <row r="816" ht="14.25" customHeight="1">
      <c r="B816" s="46"/>
      <c r="L816" s="46"/>
      <c r="M816" s="46"/>
      <c r="N816" s="46"/>
      <c r="O816" s="46"/>
      <c r="P816" s="47"/>
      <c r="Q816" s="47"/>
      <c r="R816" s="47"/>
    </row>
    <row r="817" ht="14.25" customHeight="1">
      <c r="B817" s="46"/>
      <c r="L817" s="46"/>
      <c r="M817" s="46"/>
      <c r="N817" s="46"/>
      <c r="O817" s="46"/>
      <c r="P817" s="47"/>
      <c r="Q817" s="47"/>
      <c r="R817" s="47"/>
    </row>
    <row r="818" ht="14.25" customHeight="1">
      <c r="B818" s="46"/>
      <c r="L818" s="46"/>
      <c r="M818" s="46"/>
      <c r="N818" s="46"/>
      <c r="O818" s="46"/>
      <c r="P818" s="47"/>
      <c r="Q818" s="47"/>
      <c r="R818" s="47"/>
    </row>
    <row r="819" ht="14.25" customHeight="1">
      <c r="B819" s="46"/>
      <c r="L819" s="46"/>
      <c r="M819" s="46"/>
      <c r="N819" s="46"/>
      <c r="O819" s="46"/>
      <c r="P819" s="47"/>
      <c r="Q819" s="47"/>
      <c r="R819" s="47"/>
    </row>
    <row r="820" ht="14.25" customHeight="1">
      <c r="B820" s="46"/>
      <c r="L820" s="46"/>
      <c r="M820" s="46"/>
      <c r="N820" s="46"/>
      <c r="O820" s="46"/>
      <c r="P820" s="47"/>
      <c r="Q820" s="47"/>
      <c r="R820" s="47"/>
    </row>
    <row r="821" ht="14.25" customHeight="1">
      <c r="B821" s="46"/>
      <c r="L821" s="46"/>
      <c r="M821" s="46"/>
      <c r="N821" s="46"/>
      <c r="O821" s="46"/>
      <c r="P821" s="47"/>
      <c r="Q821" s="47"/>
      <c r="R821" s="47"/>
    </row>
    <row r="822" ht="14.25" customHeight="1">
      <c r="B822" s="46"/>
      <c r="L822" s="46"/>
      <c r="M822" s="46"/>
      <c r="N822" s="46"/>
      <c r="O822" s="46"/>
      <c r="P822" s="47"/>
      <c r="Q822" s="47"/>
      <c r="R822" s="47"/>
    </row>
    <row r="823" ht="14.25" customHeight="1">
      <c r="B823" s="46"/>
      <c r="L823" s="46"/>
      <c r="M823" s="46"/>
      <c r="N823" s="46"/>
      <c r="O823" s="46"/>
      <c r="P823" s="47"/>
      <c r="Q823" s="47"/>
      <c r="R823" s="47"/>
    </row>
    <row r="824" ht="14.25" customHeight="1">
      <c r="B824" s="46"/>
      <c r="L824" s="46"/>
      <c r="M824" s="46"/>
      <c r="N824" s="46"/>
      <c r="O824" s="46"/>
      <c r="P824" s="47"/>
      <c r="Q824" s="47"/>
      <c r="R824" s="47"/>
    </row>
    <row r="825" ht="14.25" customHeight="1">
      <c r="B825" s="46"/>
      <c r="L825" s="46"/>
      <c r="M825" s="46"/>
      <c r="N825" s="46"/>
      <c r="O825" s="46"/>
      <c r="P825" s="47"/>
      <c r="Q825" s="47"/>
      <c r="R825" s="47"/>
    </row>
    <row r="826" ht="14.25" customHeight="1">
      <c r="B826" s="46"/>
      <c r="L826" s="46"/>
      <c r="M826" s="46"/>
      <c r="N826" s="46"/>
      <c r="O826" s="46"/>
      <c r="P826" s="47"/>
      <c r="Q826" s="47"/>
      <c r="R826" s="47"/>
    </row>
    <row r="827" ht="14.25" customHeight="1">
      <c r="B827" s="46"/>
      <c r="L827" s="46"/>
      <c r="M827" s="46"/>
      <c r="N827" s="46"/>
      <c r="O827" s="46"/>
      <c r="P827" s="47"/>
      <c r="Q827" s="47"/>
      <c r="R827" s="47"/>
    </row>
    <row r="828" ht="14.25" customHeight="1">
      <c r="B828" s="46"/>
      <c r="L828" s="46"/>
      <c r="M828" s="46"/>
      <c r="N828" s="46"/>
      <c r="O828" s="46"/>
      <c r="P828" s="47"/>
      <c r="Q828" s="47"/>
      <c r="R828" s="47"/>
    </row>
    <row r="829" ht="14.25" customHeight="1">
      <c r="B829" s="46"/>
      <c r="L829" s="46"/>
      <c r="M829" s="46"/>
      <c r="N829" s="46"/>
      <c r="O829" s="46"/>
      <c r="P829" s="47"/>
      <c r="Q829" s="47"/>
      <c r="R829" s="47"/>
    </row>
    <row r="830" ht="14.25" customHeight="1">
      <c r="B830" s="46"/>
      <c r="L830" s="46"/>
      <c r="M830" s="46"/>
      <c r="N830" s="46"/>
      <c r="O830" s="46"/>
      <c r="P830" s="47"/>
      <c r="Q830" s="47"/>
      <c r="R830" s="47"/>
    </row>
    <row r="831" ht="14.25" customHeight="1">
      <c r="B831" s="46"/>
      <c r="L831" s="46"/>
      <c r="M831" s="46"/>
      <c r="N831" s="46"/>
      <c r="O831" s="46"/>
      <c r="P831" s="47"/>
      <c r="Q831" s="47"/>
      <c r="R831" s="47"/>
    </row>
    <row r="832" ht="14.25" customHeight="1">
      <c r="B832" s="46"/>
      <c r="L832" s="46"/>
      <c r="M832" s="46"/>
      <c r="N832" s="46"/>
      <c r="O832" s="46"/>
      <c r="P832" s="47"/>
      <c r="Q832" s="47"/>
      <c r="R832" s="47"/>
    </row>
    <row r="833" ht="14.25" customHeight="1">
      <c r="B833" s="46"/>
      <c r="L833" s="46"/>
      <c r="M833" s="46"/>
      <c r="N833" s="46"/>
      <c r="O833" s="46"/>
      <c r="P833" s="47"/>
      <c r="Q833" s="47"/>
      <c r="R833" s="47"/>
    </row>
    <row r="834" ht="14.25" customHeight="1">
      <c r="B834" s="46"/>
      <c r="L834" s="46"/>
      <c r="M834" s="46"/>
      <c r="N834" s="46"/>
      <c r="O834" s="46"/>
      <c r="P834" s="47"/>
      <c r="Q834" s="47"/>
      <c r="R834" s="47"/>
    </row>
    <row r="835" ht="14.25" customHeight="1">
      <c r="B835" s="46"/>
      <c r="L835" s="46"/>
      <c r="M835" s="46"/>
      <c r="N835" s="46"/>
      <c r="O835" s="46"/>
      <c r="P835" s="47"/>
      <c r="Q835" s="47"/>
      <c r="R835" s="47"/>
    </row>
    <row r="836" ht="14.25" customHeight="1">
      <c r="B836" s="46"/>
      <c r="L836" s="46"/>
      <c r="M836" s="46"/>
      <c r="N836" s="46"/>
      <c r="O836" s="46"/>
      <c r="P836" s="47"/>
      <c r="Q836" s="47"/>
      <c r="R836" s="47"/>
    </row>
    <row r="837" ht="14.25" customHeight="1">
      <c r="B837" s="46"/>
      <c r="L837" s="46"/>
      <c r="M837" s="46"/>
      <c r="N837" s="46"/>
      <c r="O837" s="46"/>
      <c r="P837" s="47"/>
      <c r="Q837" s="47"/>
      <c r="R837" s="47"/>
    </row>
    <row r="838" ht="14.25" customHeight="1">
      <c r="B838" s="46"/>
      <c r="L838" s="46"/>
      <c r="M838" s="46"/>
      <c r="N838" s="46"/>
      <c r="O838" s="46"/>
      <c r="P838" s="47"/>
      <c r="Q838" s="47"/>
      <c r="R838" s="47"/>
    </row>
    <row r="839" ht="14.25" customHeight="1">
      <c r="B839" s="46"/>
      <c r="L839" s="46"/>
      <c r="M839" s="46"/>
      <c r="N839" s="46"/>
      <c r="O839" s="46"/>
      <c r="P839" s="47"/>
      <c r="Q839" s="47"/>
      <c r="R839" s="47"/>
    </row>
    <row r="840" ht="14.25" customHeight="1">
      <c r="B840" s="46"/>
      <c r="L840" s="46"/>
      <c r="M840" s="46"/>
      <c r="N840" s="46"/>
      <c r="O840" s="46"/>
      <c r="P840" s="47"/>
      <c r="Q840" s="47"/>
      <c r="R840" s="47"/>
    </row>
    <row r="841" ht="14.25" customHeight="1">
      <c r="B841" s="46"/>
      <c r="L841" s="46"/>
      <c r="M841" s="46"/>
      <c r="N841" s="46"/>
      <c r="O841" s="46"/>
      <c r="P841" s="47"/>
      <c r="Q841" s="47"/>
      <c r="R841" s="47"/>
    </row>
    <row r="842" ht="14.25" customHeight="1">
      <c r="B842" s="46"/>
      <c r="L842" s="46"/>
      <c r="M842" s="46"/>
      <c r="N842" s="46"/>
      <c r="O842" s="46"/>
      <c r="P842" s="47"/>
      <c r="Q842" s="47"/>
      <c r="R842" s="47"/>
    </row>
    <row r="843" ht="14.25" customHeight="1">
      <c r="B843" s="46"/>
      <c r="L843" s="46"/>
      <c r="M843" s="46"/>
      <c r="N843" s="46"/>
      <c r="O843" s="46"/>
      <c r="P843" s="47"/>
      <c r="Q843" s="47"/>
      <c r="R843" s="47"/>
    </row>
    <row r="844" ht="14.25" customHeight="1">
      <c r="B844" s="46"/>
      <c r="L844" s="46"/>
      <c r="M844" s="46"/>
      <c r="N844" s="46"/>
      <c r="O844" s="46"/>
      <c r="P844" s="47"/>
      <c r="Q844" s="47"/>
      <c r="R844" s="47"/>
    </row>
    <row r="845" ht="14.25" customHeight="1">
      <c r="B845" s="46"/>
      <c r="L845" s="46"/>
      <c r="M845" s="46"/>
      <c r="N845" s="46"/>
      <c r="O845" s="46"/>
      <c r="P845" s="47"/>
      <c r="Q845" s="47"/>
      <c r="R845" s="47"/>
    </row>
    <row r="846" ht="14.25" customHeight="1">
      <c r="B846" s="46"/>
      <c r="L846" s="46"/>
      <c r="M846" s="46"/>
      <c r="N846" s="46"/>
      <c r="O846" s="46"/>
      <c r="P846" s="47"/>
      <c r="Q846" s="47"/>
      <c r="R846" s="47"/>
    </row>
    <row r="847" ht="14.25" customHeight="1">
      <c r="B847" s="46"/>
      <c r="L847" s="46"/>
      <c r="M847" s="46"/>
      <c r="N847" s="46"/>
      <c r="O847" s="46"/>
      <c r="P847" s="47"/>
      <c r="Q847" s="47"/>
      <c r="R847" s="47"/>
    </row>
    <row r="848" ht="14.25" customHeight="1">
      <c r="B848" s="46"/>
      <c r="L848" s="46"/>
      <c r="M848" s="46"/>
      <c r="N848" s="46"/>
      <c r="O848" s="46"/>
      <c r="P848" s="47"/>
      <c r="Q848" s="47"/>
      <c r="R848" s="47"/>
    </row>
    <row r="849" ht="14.25" customHeight="1">
      <c r="B849" s="46"/>
      <c r="L849" s="46"/>
      <c r="M849" s="46"/>
      <c r="N849" s="46"/>
      <c r="O849" s="46"/>
      <c r="P849" s="47"/>
      <c r="Q849" s="47"/>
      <c r="R849" s="47"/>
    </row>
    <row r="850" ht="14.25" customHeight="1">
      <c r="B850" s="46"/>
      <c r="L850" s="46"/>
      <c r="M850" s="46"/>
      <c r="N850" s="46"/>
      <c r="O850" s="46"/>
      <c r="P850" s="47"/>
      <c r="Q850" s="47"/>
      <c r="R850" s="47"/>
    </row>
    <row r="851" ht="14.25" customHeight="1">
      <c r="B851" s="46"/>
      <c r="L851" s="46"/>
      <c r="M851" s="46"/>
      <c r="N851" s="46"/>
      <c r="O851" s="46"/>
      <c r="P851" s="47"/>
      <c r="Q851" s="47"/>
      <c r="R851" s="47"/>
    </row>
    <row r="852" ht="14.25" customHeight="1">
      <c r="B852" s="46"/>
      <c r="L852" s="46"/>
      <c r="M852" s="46"/>
      <c r="N852" s="46"/>
      <c r="O852" s="46"/>
      <c r="P852" s="47"/>
      <c r="Q852" s="47"/>
      <c r="R852" s="47"/>
    </row>
    <row r="853" ht="14.25" customHeight="1">
      <c r="B853" s="46"/>
      <c r="L853" s="46"/>
      <c r="M853" s="46"/>
      <c r="N853" s="46"/>
      <c r="O853" s="46"/>
      <c r="P853" s="47"/>
      <c r="Q853" s="47"/>
      <c r="R853" s="47"/>
    </row>
    <row r="854" ht="14.25" customHeight="1">
      <c r="B854" s="46"/>
      <c r="L854" s="46"/>
      <c r="M854" s="46"/>
      <c r="N854" s="46"/>
      <c r="O854" s="46"/>
      <c r="P854" s="47"/>
      <c r="Q854" s="47"/>
      <c r="R854" s="47"/>
    </row>
    <row r="855" ht="14.25" customHeight="1">
      <c r="B855" s="46"/>
      <c r="L855" s="46"/>
      <c r="M855" s="46"/>
      <c r="N855" s="46"/>
      <c r="O855" s="46"/>
      <c r="P855" s="47"/>
      <c r="Q855" s="47"/>
      <c r="R855" s="47"/>
    </row>
    <row r="856" ht="14.25" customHeight="1">
      <c r="B856" s="46"/>
      <c r="L856" s="46"/>
      <c r="M856" s="46"/>
      <c r="N856" s="46"/>
      <c r="O856" s="46"/>
      <c r="P856" s="47"/>
      <c r="Q856" s="47"/>
      <c r="R856" s="47"/>
    </row>
    <row r="857" ht="14.25" customHeight="1">
      <c r="B857" s="46"/>
      <c r="L857" s="46"/>
      <c r="M857" s="46"/>
      <c r="N857" s="46"/>
      <c r="O857" s="46"/>
      <c r="P857" s="47"/>
      <c r="Q857" s="47"/>
      <c r="R857" s="47"/>
    </row>
    <row r="858" ht="14.25" customHeight="1">
      <c r="B858" s="46"/>
      <c r="L858" s="46"/>
      <c r="M858" s="46"/>
      <c r="N858" s="46"/>
      <c r="O858" s="46"/>
      <c r="P858" s="47"/>
      <c r="Q858" s="47"/>
      <c r="R858" s="47"/>
    </row>
    <row r="859" ht="14.25" customHeight="1">
      <c r="B859" s="46"/>
      <c r="L859" s="46"/>
      <c r="M859" s="46"/>
      <c r="N859" s="46"/>
      <c r="O859" s="46"/>
      <c r="P859" s="47"/>
      <c r="Q859" s="47"/>
      <c r="R859" s="47"/>
    </row>
    <row r="860" ht="14.25" customHeight="1">
      <c r="B860" s="46"/>
      <c r="L860" s="46"/>
      <c r="M860" s="46"/>
      <c r="N860" s="46"/>
      <c r="O860" s="46"/>
      <c r="P860" s="47"/>
      <c r="Q860" s="47"/>
      <c r="R860" s="47"/>
    </row>
    <row r="861" ht="14.25" customHeight="1">
      <c r="B861" s="46"/>
      <c r="L861" s="46"/>
      <c r="M861" s="46"/>
      <c r="N861" s="46"/>
      <c r="O861" s="46"/>
      <c r="P861" s="47"/>
      <c r="Q861" s="47"/>
      <c r="R861" s="47"/>
    </row>
    <row r="862" ht="14.25" customHeight="1">
      <c r="B862" s="46"/>
      <c r="L862" s="46"/>
      <c r="M862" s="46"/>
      <c r="N862" s="46"/>
      <c r="O862" s="46"/>
      <c r="P862" s="47"/>
      <c r="Q862" s="47"/>
      <c r="R862" s="47"/>
    </row>
    <row r="863" ht="14.25" customHeight="1">
      <c r="B863" s="46"/>
      <c r="L863" s="46"/>
      <c r="M863" s="46"/>
      <c r="N863" s="46"/>
      <c r="O863" s="46"/>
      <c r="P863" s="47"/>
      <c r="Q863" s="47"/>
      <c r="R863" s="47"/>
    </row>
    <row r="864" ht="14.25" customHeight="1">
      <c r="B864" s="46"/>
      <c r="L864" s="46"/>
      <c r="M864" s="46"/>
      <c r="N864" s="46"/>
      <c r="O864" s="46"/>
      <c r="P864" s="47"/>
      <c r="Q864" s="47"/>
      <c r="R864" s="47"/>
    </row>
    <row r="865" ht="14.25" customHeight="1">
      <c r="B865" s="46"/>
      <c r="L865" s="46"/>
      <c r="M865" s="46"/>
      <c r="N865" s="46"/>
      <c r="O865" s="46"/>
      <c r="P865" s="47"/>
      <c r="Q865" s="47"/>
      <c r="R865" s="47"/>
    </row>
    <row r="866" ht="14.25" customHeight="1">
      <c r="B866" s="46"/>
      <c r="L866" s="46"/>
      <c r="M866" s="46"/>
      <c r="N866" s="46"/>
      <c r="O866" s="46"/>
      <c r="P866" s="47"/>
      <c r="Q866" s="47"/>
      <c r="R866" s="47"/>
    </row>
    <row r="867" ht="14.25" customHeight="1">
      <c r="B867" s="46"/>
      <c r="L867" s="46"/>
      <c r="M867" s="46"/>
      <c r="N867" s="46"/>
      <c r="O867" s="46"/>
      <c r="P867" s="47"/>
      <c r="Q867" s="47"/>
      <c r="R867" s="47"/>
    </row>
    <row r="868" ht="14.25" customHeight="1">
      <c r="B868" s="46"/>
      <c r="L868" s="46"/>
      <c r="M868" s="46"/>
      <c r="N868" s="46"/>
      <c r="O868" s="46"/>
      <c r="P868" s="47"/>
      <c r="Q868" s="47"/>
      <c r="R868" s="47"/>
    </row>
    <row r="869" ht="14.25" customHeight="1">
      <c r="B869" s="46"/>
      <c r="L869" s="46"/>
      <c r="M869" s="46"/>
      <c r="N869" s="46"/>
      <c r="O869" s="46"/>
      <c r="P869" s="47"/>
      <c r="Q869" s="47"/>
      <c r="R869" s="47"/>
    </row>
    <row r="870" ht="14.25" customHeight="1">
      <c r="B870" s="46"/>
      <c r="L870" s="46"/>
      <c r="M870" s="46"/>
      <c r="N870" s="46"/>
      <c r="O870" s="46"/>
      <c r="P870" s="47"/>
      <c r="Q870" s="47"/>
      <c r="R870" s="47"/>
    </row>
    <row r="871" ht="14.25" customHeight="1">
      <c r="B871" s="46"/>
      <c r="L871" s="46"/>
      <c r="M871" s="46"/>
      <c r="N871" s="46"/>
      <c r="O871" s="46"/>
      <c r="P871" s="47"/>
      <c r="Q871" s="47"/>
      <c r="R871" s="47"/>
    </row>
    <row r="872" ht="14.25" customHeight="1">
      <c r="B872" s="46"/>
      <c r="L872" s="46"/>
      <c r="M872" s="46"/>
      <c r="N872" s="46"/>
      <c r="O872" s="46"/>
      <c r="P872" s="47"/>
      <c r="Q872" s="47"/>
      <c r="R872" s="47"/>
    </row>
    <row r="873" ht="14.25" customHeight="1">
      <c r="B873" s="46"/>
      <c r="L873" s="46"/>
      <c r="M873" s="46"/>
      <c r="N873" s="46"/>
      <c r="O873" s="46"/>
      <c r="P873" s="47"/>
      <c r="Q873" s="47"/>
      <c r="R873" s="47"/>
    </row>
    <row r="874" ht="14.25" customHeight="1">
      <c r="B874" s="46"/>
      <c r="L874" s="46"/>
      <c r="M874" s="46"/>
      <c r="N874" s="46"/>
      <c r="O874" s="46"/>
      <c r="P874" s="47"/>
      <c r="Q874" s="47"/>
      <c r="R874" s="47"/>
    </row>
    <row r="875" ht="14.25" customHeight="1">
      <c r="B875" s="46"/>
      <c r="L875" s="46"/>
      <c r="M875" s="46"/>
      <c r="N875" s="46"/>
      <c r="O875" s="46"/>
      <c r="P875" s="47"/>
      <c r="Q875" s="47"/>
      <c r="R875" s="47"/>
    </row>
    <row r="876" ht="14.25" customHeight="1">
      <c r="B876" s="46"/>
      <c r="L876" s="46"/>
      <c r="M876" s="46"/>
      <c r="N876" s="46"/>
      <c r="O876" s="46"/>
      <c r="P876" s="47"/>
      <c r="Q876" s="47"/>
      <c r="R876" s="47"/>
    </row>
    <row r="877" ht="14.25" customHeight="1">
      <c r="B877" s="46"/>
      <c r="L877" s="46"/>
      <c r="M877" s="46"/>
      <c r="N877" s="46"/>
      <c r="O877" s="46"/>
      <c r="P877" s="47"/>
      <c r="Q877" s="47"/>
      <c r="R877" s="47"/>
    </row>
    <row r="878" ht="14.25" customHeight="1">
      <c r="B878" s="46"/>
      <c r="L878" s="46"/>
      <c r="M878" s="46"/>
      <c r="N878" s="46"/>
      <c r="O878" s="46"/>
      <c r="P878" s="47"/>
      <c r="Q878" s="47"/>
      <c r="R878" s="47"/>
    </row>
    <row r="879" ht="14.25" customHeight="1">
      <c r="B879" s="46"/>
      <c r="L879" s="46"/>
      <c r="M879" s="46"/>
      <c r="N879" s="46"/>
      <c r="O879" s="46"/>
      <c r="P879" s="47"/>
      <c r="Q879" s="47"/>
      <c r="R879" s="47"/>
    </row>
    <row r="880" ht="14.25" customHeight="1">
      <c r="B880" s="46"/>
      <c r="L880" s="46"/>
      <c r="M880" s="46"/>
      <c r="N880" s="46"/>
      <c r="O880" s="46"/>
      <c r="P880" s="47"/>
      <c r="Q880" s="47"/>
      <c r="R880" s="47"/>
    </row>
    <row r="881" ht="14.25" customHeight="1">
      <c r="B881" s="46"/>
      <c r="L881" s="46"/>
      <c r="M881" s="46"/>
      <c r="N881" s="46"/>
      <c r="O881" s="46"/>
      <c r="P881" s="47"/>
      <c r="Q881" s="47"/>
      <c r="R881" s="47"/>
    </row>
    <row r="882" ht="14.25" customHeight="1">
      <c r="B882" s="46"/>
      <c r="L882" s="46"/>
      <c r="M882" s="46"/>
      <c r="N882" s="46"/>
      <c r="O882" s="46"/>
      <c r="P882" s="47"/>
      <c r="Q882" s="47"/>
      <c r="R882" s="47"/>
    </row>
    <row r="883" ht="14.25" customHeight="1">
      <c r="B883" s="46"/>
      <c r="L883" s="46"/>
      <c r="M883" s="46"/>
      <c r="N883" s="46"/>
      <c r="O883" s="46"/>
      <c r="P883" s="47"/>
      <c r="Q883" s="47"/>
      <c r="R883" s="47"/>
    </row>
    <row r="884" ht="14.25" customHeight="1">
      <c r="B884" s="46"/>
      <c r="L884" s="46"/>
      <c r="M884" s="46"/>
      <c r="N884" s="46"/>
      <c r="O884" s="46"/>
      <c r="P884" s="47"/>
      <c r="Q884" s="47"/>
      <c r="R884" s="47"/>
    </row>
    <row r="885" ht="14.25" customHeight="1">
      <c r="B885" s="46"/>
      <c r="L885" s="46"/>
      <c r="M885" s="46"/>
      <c r="N885" s="46"/>
      <c r="O885" s="46"/>
      <c r="P885" s="47"/>
      <c r="Q885" s="47"/>
      <c r="R885" s="47"/>
    </row>
    <row r="886" ht="14.25" customHeight="1">
      <c r="B886" s="46"/>
      <c r="L886" s="46"/>
      <c r="M886" s="46"/>
      <c r="N886" s="46"/>
      <c r="O886" s="46"/>
      <c r="P886" s="47"/>
      <c r="Q886" s="47"/>
      <c r="R886" s="47"/>
    </row>
    <row r="887" ht="14.25" customHeight="1">
      <c r="B887" s="46"/>
      <c r="L887" s="46"/>
      <c r="M887" s="46"/>
      <c r="N887" s="46"/>
      <c r="O887" s="46"/>
      <c r="P887" s="47"/>
      <c r="Q887" s="47"/>
      <c r="R887" s="47"/>
    </row>
    <row r="888" ht="14.25" customHeight="1">
      <c r="B888" s="46"/>
      <c r="L888" s="46"/>
      <c r="M888" s="46"/>
      <c r="N888" s="46"/>
      <c r="O888" s="46"/>
      <c r="P888" s="47"/>
      <c r="Q888" s="47"/>
      <c r="R888" s="47"/>
    </row>
    <row r="889" ht="14.25" customHeight="1">
      <c r="B889" s="46"/>
      <c r="L889" s="46"/>
      <c r="M889" s="46"/>
      <c r="N889" s="46"/>
      <c r="O889" s="46"/>
      <c r="P889" s="47"/>
      <c r="Q889" s="47"/>
      <c r="R889" s="47"/>
    </row>
    <row r="890" ht="14.25" customHeight="1">
      <c r="B890" s="46"/>
      <c r="L890" s="46"/>
      <c r="M890" s="46"/>
      <c r="N890" s="46"/>
      <c r="O890" s="46"/>
      <c r="P890" s="47"/>
      <c r="Q890" s="47"/>
      <c r="R890" s="47"/>
    </row>
    <row r="891" ht="14.25" customHeight="1">
      <c r="B891" s="46"/>
      <c r="L891" s="46"/>
      <c r="M891" s="46"/>
      <c r="N891" s="46"/>
      <c r="O891" s="46"/>
      <c r="P891" s="47"/>
      <c r="Q891" s="47"/>
      <c r="R891" s="47"/>
    </row>
    <row r="892" ht="14.25" customHeight="1">
      <c r="B892" s="46"/>
      <c r="L892" s="46"/>
      <c r="M892" s="46"/>
      <c r="N892" s="46"/>
      <c r="O892" s="46"/>
      <c r="P892" s="47"/>
      <c r="Q892" s="47"/>
      <c r="R892" s="47"/>
    </row>
    <row r="893" ht="14.25" customHeight="1">
      <c r="B893" s="46"/>
      <c r="L893" s="46"/>
      <c r="M893" s="46"/>
      <c r="N893" s="46"/>
      <c r="O893" s="46"/>
      <c r="P893" s="47"/>
      <c r="Q893" s="47"/>
      <c r="R893" s="47"/>
    </row>
    <row r="894" ht="14.25" customHeight="1">
      <c r="B894" s="46"/>
      <c r="L894" s="46"/>
      <c r="M894" s="46"/>
      <c r="N894" s="46"/>
      <c r="O894" s="46"/>
      <c r="P894" s="47"/>
      <c r="Q894" s="47"/>
      <c r="R894" s="47"/>
    </row>
    <row r="895" ht="14.25" customHeight="1">
      <c r="B895" s="46"/>
      <c r="L895" s="46"/>
      <c r="M895" s="46"/>
      <c r="N895" s="46"/>
      <c r="O895" s="46"/>
      <c r="P895" s="47"/>
      <c r="Q895" s="47"/>
      <c r="R895" s="47"/>
    </row>
    <row r="896" ht="14.25" customHeight="1">
      <c r="B896" s="46"/>
      <c r="L896" s="46"/>
      <c r="M896" s="46"/>
      <c r="N896" s="46"/>
      <c r="O896" s="46"/>
      <c r="P896" s="47"/>
      <c r="Q896" s="47"/>
      <c r="R896" s="47"/>
    </row>
    <row r="897" ht="14.25" customHeight="1">
      <c r="B897" s="46"/>
      <c r="L897" s="46"/>
      <c r="M897" s="46"/>
      <c r="N897" s="46"/>
      <c r="O897" s="46"/>
      <c r="P897" s="47"/>
      <c r="Q897" s="47"/>
      <c r="R897" s="47"/>
    </row>
    <row r="898" ht="14.25" customHeight="1">
      <c r="B898" s="46"/>
      <c r="L898" s="46"/>
      <c r="M898" s="46"/>
      <c r="N898" s="46"/>
      <c r="O898" s="46"/>
      <c r="P898" s="47"/>
      <c r="Q898" s="47"/>
      <c r="R898" s="47"/>
    </row>
    <row r="899" ht="14.25" customHeight="1">
      <c r="B899" s="46"/>
      <c r="L899" s="46"/>
      <c r="M899" s="46"/>
      <c r="N899" s="46"/>
      <c r="O899" s="46"/>
      <c r="P899" s="47"/>
      <c r="Q899" s="47"/>
      <c r="R899" s="47"/>
    </row>
    <row r="900" ht="14.25" customHeight="1">
      <c r="B900" s="46"/>
      <c r="L900" s="46"/>
      <c r="M900" s="46"/>
      <c r="N900" s="46"/>
      <c r="O900" s="46"/>
      <c r="P900" s="47"/>
      <c r="Q900" s="47"/>
      <c r="R900" s="47"/>
    </row>
    <row r="901" ht="14.25" customHeight="1">
      <c r="B901" s="46"/>
      <c r="L901" s="46"/>
      <c r="M901" s="46"/>
      <c r="N901" s="46"/>
      <c r="O901" s="46"/>
      <c r="P901" s="47"/>
      <c r="Q901" s="47"/>
      <c r="R901" s="47"/>
    </row>
    <row r="902" ht="14.25" customHeight="1">
      <c r="B902" s="46"/>
      <c r="L902" s="46"/>
      <c r="M902" s="46"/>
      <c r="N902" s="46"/>
      <c r="O902" s="46"/>
      <c r="P902" s="47"/>
      <c r="Q902" s="47"/>
      <c r="R902" s="47"/>
    </row>
    <row r="903" ht="14.25" customHeight="1">
      <c r="B903" s="46"/>
      <c r="L903" s="46"/>
      <c r="M903" s="46"/>
      <c r="N903" s="46"/>
      <c r="O903" s="46"/>
      <c r="P903" s="47"/>
      <c r="Q903" s="47"/>
      <c r="R903" s="47"/>
    </row>
    <row r="904" ht="14.25" customHeight="1">
      <c r="B904" s="46"/>
      <c r="L904" s="46"/>
      <c r="M904" s="46"/>
      <c r="N904" s="46"/>
      <c r="O904" s="46"/>
      <c r="P904" s="47"/>
      <c r="Q904" s="47"/>
      <c r="R904" s="47"/>
    </row>
    <row r="905" ht="14.25" customHeight="1">
      <c r="B905" s="46"/>
      <c r="L905" s="46"/>
      <c r="M905" s="46"/>
      <c r="N905" s="46"/>
      <c r="O905" s="46"/>
      <c r="P905" s="47"/>
      <c r="Q905" s="47"/>
      <c r="R905" s="47"/>
    </row>
    <row r="906" ht="14.25" customHeight="1">
      <c r="B906" s="46"/>
      <c r="L906" s="46"/>
      <c r="M906" s="46"/>
      <c r="N906" s="46"/>
      <c r="O906" s="46"/>
      <c r="P906" s="47"/>
      <c r="Q906" s="47"/>
      <c r="R906" s="47"/>
    </row>
    <row r="907" ht="14.25" customHeight="1">
      <c r="B907" s="46"/>
      <c r="L907" s="46"/>
      <c r="M907" s="46"/>
      <c r="N907" s="46"/>
      <c r="O907" s="46"/>
      <c r="P907" s="47"/>
      <c r="Q907" s="47"/>
      <c r="R907" s="47"/>
    </row>
    <row r="908" ht="14.25" customHeight="1">
      <c r="B908" s="46"/>
      <c r="L908" s="46"/>
      <c r="M908" s="46"/>
      <c r="N908" s="46"/>
      <c r="O908" s="46"/>
      <c r="P908" s="47"/>
      <c r="Q908" s="47"/>
      <c r="R908" s="47"/>
    </row>
    <row r="909" ht="14.25" customHeight="1">
      <c r="B909" s="46"/>
      <c r="L909" s="46"/>
      <c r="M909" s="46"/>
      <c r="N909" s="46"/>
      <c r="O909" s="46"/>
      <c r="P909" s="47"/>
      <c r="Q909" s="47"/>
      <c r="R909" s="47"/>
    </row>
    <row r="910" ht="14.25" customHeight="1">
      <c r="B910" s="46"/>
      <c r="L910" s="46"/>
      <c r="M910" s="46"/>
      <c r="N910" s="46"/>
      <c r="O910" s="46"/>
      <c r="P910" s="47"/>
      <c r="Q910" s="47"/>
      <c r="R910" s="47"/>
    </row>
    <row r="911" ht="14.25" customHeight="1">
      <c r="B911" s="46"/>
      <c r="L911" s="46"/>
      <c r="M911" s="46"/>
      <c r="N911" s="46"/>
      <c r="O911" s="46"/>
      <c r="P911" s="47"/>
      <c r="Q911" s="47"/>
      <c r="R911" s="47"/>
    </row>
    <row r="912" ht="14.25" customHeight="1">
      <c r="B912" s="46"/>
      <c r="L912" s="46"/>
      <c r="M912" s="46"/>
      <c r="N912" s="46"/>
      <c r="O912" s="46"/>
      <c r="P912" s="47"/>
      <c r="Q912" s="47"/>
      <c r="R912" s="47"/>
    </row>
    <row r="913" ht="14.25" customHeight="1">
      <c r="B913" s="46"/>
      <c r="L913" s="46"/>
      <c r="M913" s="46"/>
      <c r="N913" s="46"/>
      <c r="O913" s="46"/>
      <c r="P913" s="47"/>
      <c r="Q913" s="47"/>
      <c r="R913" s="47"/>
    </row>
    <row r="914" ht="14.25" customHeight="1">
      <c r="B914" s="46"/>
      <c r="L914" s="46"/>
      <c r="M914" s="46"/>
      <c r="N914" s="46"/>
      <c r="O914" s="46"/>
      <c r="P914" s="47"/>
      <c r="Q914" s="47"/>
      <c r="R914" s="47"/>
    </row>
    <row r="915" ht="14.25" customHeight="1">
      <c r="B915" s="46"/>
      <c r="L915" s="46"/>
      <c r="M915" s="46"/>
      <c r="N915" s="46"/>
      <c r="O915" s="46"/>
      <c r="P915" s="47"/>
      <c r="Q915" s="47"/>
      <c r="R915" s="47"/>
    </row>
    <row r="916" ht="14.25" customHeight="1">
      <c r="B916" s="46"/>
      <c r="L916" s="46"/>
      <c r="M916" s="46"/>
      <c r="N916" s="46"/>
      <c r="O916" s="46"/>
      <c r="P916" s="47"/>
      <c r="Q916" s="47"/>
      <c r="R916" s="47"/>
    </row>
    <row r="917" ht="14.25" customHeight="1">
      <c r="B917" s="46"/>
      <c r="L917" s="46"/>
      <c r="M917" s="46"/>
      <c r="N917" s="46"/>
      <c r="O917" s="46"/>
      <c r="P917" s="47"/>
      <c r="Q917" s="47"/>
      <c r="R917" s="47"/>
    </row>
    <row r="918" ht="14.25" customHeight="1">
      <c r="B918" s="46"/>
      <c r="L918" s="46"/>
      <c r="M918" s="46"/>
      <c r="N918" s="46"/>
      <c r="O918" s="46"/>
      <c r="P918" s="47"/>
      <c r="Q918" s="47"/>
      <c r="R918" s="47"/>
    </row>
    <row r="919" ht="14.25" customHeight="1">
      <c r="B919" s="46"/>
      <c r="L919" s="46"/>
      <c r="M919" s="46"/>
      <c r="N919" s="46"/>
      <c r="O919" s="46"/>
      <c r="P919" s="47"/>
      <c r="Q919" s="47"/>
      <c r="R919" s="47"/>
    </row>
    <row r="920" ht="14.25" customHeight="1">
      <c r="B920" s="46"/>
      <c r="L920" s="46"/>
      <c r="M920" s="46"/>
      <c r="N920" s="46"/>
      <c r="O920" s="46"/>
      <c r="P920" s="47"/>
      <c r="Q920" s="47"/>
      <c r="R920" s="47"/>
    </row>
    <row r="921" ht="14.25" customHeight="1">
      <c r="B921" s="46"/>
      <c r="L921" s="46"/>
      <c r="M921" s="46"/>
      <c r="N921" s="46"/>
      <c r="O921" s="46"/>
      <c r="P921" s="47"/>
      <c r="Q921" s="47"/>
      <c r="R921" s="47"/>
    </row>
    <row r="922" ht="14.25" customHeight="1">
      <c r="B922" s="46"/>
      <c r="L922" s="46"/>
      <c r="M922" s="46"/>
      <c r="N922" s="46"/>
      <c r="O922" s="46"/>
      <c r="P922" s="47"/>
      <c r="Q922" s="47"/>
      <c r="R922" s="47"/>
    </row>
    <row r="923" ht="14.25" customHeight="1">
      <c r="B923" s="46"/>
      <c r="L923" s="46"/>
      <c r="M923" s="46"/>
      <c r="N923" s="46"/>
      <c r="O923" s="46"/>
      <c r="P923" s="47"/>
      <c r="Q923" s="47"/>
      <c r="R923" s="47"/>
    </row>
    <row r="924" ht="14.25" customHeight="1">
      <c r="B924" s="46"/>
      <c r="L924" s="46"/>
      <c r="M924" s="46"/>
      <c r="N924" s="46"/>
      <c r="O924" s="46"/>
      <c r="P924" s="47"/>
      <c r="Q924" s="47"/>
      <c r="R924" s="47"/>
    </row>
    <row r="925" ht="14.25" customHeight="1">
      <c r="B925" s="46"/>
      <c r="L925" s="46"/>
      <c r="M925" s="46"/>
      <c r="N925" s="46"/>
      <c r="O925" s="46"/>
      <c r="P925" s="47"/>
      <c r="Q925" s="47"/>
      <c r="R925" s="47"/>
    </row>
    <row r="926" ht="14.25" customHeight="1">
      <c r="B926" s="46"/>
      <c r="L926" s="46"/>
      <c r="M926" s="46"/>
      <c r="N926" s="46"/>
      <c r="O926" s="46"/>
      <c r="P926" s="47"/>
      <c r="Q926" s="47"/>
      <c r="R926" s="47"/>
    </row>
    <row r="927" ht="14.25" customHeight="1">
      <c r="B927" s="46"/>
      <c r="L927" s="46"/>
      <c r="M927" s="46"/>
      <c r="N927" s="46"/>
      <c r="O927" s="46"/>
      <c r="P927" s="47"/>
      <c r="Q927" s="47"/>
      <c r="R927" s="47"/>
    </row>
    <row r="928" ht="14.25" customHeight="1">
      <c r="B928" s="46"/>
      <c r="L928" s="46"/>
      <c r="M928" s="46"/>
      <c r="N928" s="46"/>
      <c r="O928" s="46"/>
      <c r="P928" s="47"/>
      <c r="Q928" s="47"/>
      <c r="R928" s="47"/>
    </row>
    <row r="929" ht="14.25" customHeight="1">
      <c r="B929" s="46"/>
      <c r="L929" s="46"/>
      <c r="M929" s="46"/>
      <c r="N929" s="46"/>
      <c r="O929" s="46"/>
      <c r="P929" s="47"/>
      <c r="Q929" s="47"/>
      <c r="R929" s="47"/>
    </row>
    <row r="930" ht="14.25" customHeight="1">
      <c r="B930" s="46"/>
      <c r="L930" s="46"/>
      <c r="M930" s="46"/>
      <c r="N930" s="46"/>
      <c r="O930" s="46"/>
      <c r="P930" s="47"/>
      <c r="Q930" s="47"/>
      <c r="R930" s="47"/>
    </row>
    <row r="931" ht="14.25" customHeight="1">
      <c r="B931" s="46"/>
      <c r="L931" s="46"/>
      <c r="M931" s="46"/>
      <c r="N931" s="46"/>
      <c r="O931" s="46"/>
      <c r="P931" s="47"/>
      <c r="Q931" s="47"/>
      <c r="R931" s="47"/>
    </row>
    <row r="932" ht="14.25" customHeight="1">
      <c r="B932" s="46"/>
      <c r="L932" s="46"/>
      <c r="M932" s="46"/>
      <c r="N932" s="46"/>
      <c r="O932" s="46"/>
      <c r="P932" s="47"/>
      <c r="Q932" s="47"/>
      <c r="R932" s="47"/>
    </row>
    <row r="933" ht="14.25" customHeight="1">
      <c r="B933" s="46"/>
      <c r="L933" s="46"/>
      <c r="M933" s="46"/>
      <c r="N933" s="46"/>
      <c r="O933" s="46"/>
      <c r="P933" s="47"/>
      <c r="Q933" s="47"/>
      <c r="R933" s="47"/>
    </row>
    <row r="934" ht="14.25" customHeight="1">
      <c r="B934" s="46"/>
      <c r="L934" s="46"/>
      <c r="M934" s="46"/>
      <c r="N934" s="46"/>
      <c r="O934" s="46"/>
      <c r="P934" s="47"/>
      <c r="Q934" s="47"/>
      <c r="R934" s="47"/>
    </row>
    <row r="935" ht="14.25" customHeight="1">
      <c r="B935" s="46"/>
      <c r="L935" s="46"/>
      <c r="M935" s="46"/>
      <c r="N935" s="46"/>
      <c r="O935" s="46"/>
      <c r="P935" s="47"/>
      <c r="Q935" s="47"/>
      <c r="R935" s="47"/>
    </row>
    <row r="936" ht="14.25" customHeight="1">
      <c r="B936" s="46"/>
      <c r="L936" s="46"/>
      <c r="M936" s="46"/>
      <c r="N936" s="46"/>
      <c r="O936" s="46"/>
      <c r="P936" s="47"/>
      <c r="Q936" s="47"/>
      <c r="R936" s="47"/>
    </row>
    <row r="937" ht="14.25" customHeight="1">
      <c r="B937" s="46"/>
      <c r="L937" s="46"/>
      <c r="M937" s="46"/>
      <c r="N937" s="46"/>
      <c r="O937" s="46"/>
      <c r="P937" s="47"/>
      <c r="Q937" s="47"/>
      <c r="R937" s="47"/>
    </row>
    <row r="938" ht="14.25" customHeight="1">
      <c r="B938" s="46"/>
      <c r="L938" s="46"/>
      <c r="M938" s="46"/>
      <c r="N938" s="46"/>
      <c r="O938" s="46"/>
      <c r="P938" s="47"/>
      <c r="Q938" s="47"/>
      <c r="R938" s="47"/>
    </row>
    <row r="939" ht="14.25" customHeight="1">
      <c r="B939" s="46"/>
      <c r="L939" s="46"/>
      <c r="M939" s="46"/>
      <c r="N939" s="46"/>
      <c r="O939" s="46"/>
      <c r="P939" s="47"/>
      <c r="Q939" s="47"/>
      <c r="R939" s="47"/>
    </row>
    <row r="940" ht="14.25" customHeight="1">
      <c r="B940" s="46"/>
      <c r="L940" s="46"/>
      <c r="M940" s="46"/>
      <c r="N940" s="46"/>
      <c r="O940" s="46"/>
      <c r="P940" s="47"/>
      <c r="Q940" s="47"/>
      <c r="R940" s="47"/>
    </row>
    <row r="941" ht="14.25" customHeight="1">
      <c r="B941" s="46"/>
      <c r="L941" s="46"/>
      <c r="M941" s="46"/>
      <c r="N941" s="46"/>
      <c r="O941" s="46"/>
      <c r="P941" s="47"/>
      <c r="Q941" s="47"/>
      <c r="R941" s="47"/>
    </row>
    <row r="942" ht="14.25" customHeight="1">
      <c r="B942" s="46"/>
      <c r="L942" s="46"/>
      <c r="M942" s="46"/>
      <c r="N942" s="46"/>
      <c r="O942" s="46"/>
      <c r="P942" s="47"/>
      <c r="Q942" s="47"/>
      <c r="R942" s="47"/>
    </row>
    <row r="943" ht="14.25" customHeight="1">
      <c r="B943" s="46"/>
      <c r="L943" s="46"/>
      <c r="M943" s="46"/>
      <c r="N943" s="46"/>
      <c r="O943" s="46"/>
      <c r="P943" s="47"/>
      <c r="Q943" s="47"/>
      <c r="R943" s="47"/>
    </row>
    <row r="944" ht="14.25" customHeight="1">
      <c r="B944" s="46"/>
      <c r="L944" s="46"/>
      <c r="M944" s="46"/>
      <c r="N944" s="46"/>
      <c r="O944" s="46"/>
      <c r="P944" s="47"/>
      <c r="Q944" s="47"/>
      <c r="R944" s="47"/>
    </row>
    <row r="945" ht="14.25" customHeight="1">
      <c r="B945" s="46"/>
      <c r="L945" s="46"/>
      <c r="M945" s="46"/>
      <c r="N945" s="46"/>
      <c r="O945" s="46"/>
      <c r="P945" s="47"/>
      <c r="Q945" s="47"/>
      <c r="R945" s="47"/>
    </row>
    <row r="946" ht="14.25" customHeight="1">
      <c r="B946" s="46"/>
      <c r="L946" s="46"/>
      <c r="M946" s="46"/>
      <c r="N946" s="46"/>
      <c r="O946" s="46"/>
      <c r="P946" s="47"/>
      <c r="Q946" s="47"/>
      <c r="R946" s="47"/>
    </row>
    <row r="947" ht="14.25" customHeight="1">
      <c r="B947" s="46"/>
      <c r="L947" s="46"/>
      <c r="M947" s="46"/>
      <c r="N947" s="46"/>
      <c r="O947" s="46"/>
      <c r="P947" s="47"/>
      <c r="Q947" s="47"/>
      <c r="R947" s="47"/>
    </row>
    <row r="948" ht="14.25" customHeight="1">
      <c r="B948" s="46"/>
      <c r="L948" s="46"/>
      <c r="M948" s="46"/>
      <c r="N948" s="46"/>
      <c r="O948" s="46"/>
      <c r="P948" s="47"/>
      <c r="Q948" s="47"/>
      <c r="R948" s="47"/>
    </row>
    <row r="949" ht="14.25" customHeight="1">
      <c r="B949" s="46"/>
      <c r="L949" s="46"/>
      <c r="M949" s="46"/>
      <c r="N949" s="46"/>
      <c r="O949" s="46"/>
      <c r="P949" s="47"/>
      <c r="Q949" s="47"/>
      <c r="R949" s="47"/>
    </row>
    <row r="950" ht="14.25" customHeight="1">
      <c r="B950" s="46"/>
      <c r="L950" s="46"/>
      <c r="M950" s="46"/>
      <c r="N950" s="46"/>
      <c r="O950" s="46"/>
      <c r="P950" s="47"/>
      <c r="Q950" s="47"/>
      <c r="R950" s="47"/>
    </row>
    <row r="951" ht="14.25" customHeight="1">
      <c r="B951" s="46"/>
      <c r="L951" s="46"/>
      <c r="M951" s="46"/>
      <c r="N951" s="46"/>
      <c r="O951" s="46"/>
      <c r="P951" s="47"/>
      <c r="Q951" s="47"/>
      <c r="R951" s="47"/>
    </row>
    <row r="952" ht="14.25" customHeight="1">
      <c r="B952" s="46"/>
      <c r="L952" s="46"/>
      <c r="M952" s="46"/>
      <c r="N952" s="46"/>
      <c r="O952" s="46"/>
      <c r="P952" s="47"/>
      <c r="Q952" s="47"/>
      <c r="R952" s="47"/>
    </row>
    <row r="953" ht="14.25" customHeight="1">
      <c r="B953" s="46"/>
      <c r="L953" s="46"/>
      <c r="M953" s="46"/>
      <c r="N953" s="46"/>
      <c r="O953" s="46"/>
      <c r="P953" s="47"/>
      <c r="Q953" s="47"/>
      <c r="R953" s="47"/>
    </row>
    <row r="954" ht="14.25" customHeight="1">
      <c r="B954" s="46"/>
      <c r="L954" s="46"/>
      <c r="M954" s="46"/>
      <c r="N954" s="46"/>
      <c r="O954" s="46"/>
      <c r="P954" s="47"/>
      <c r="Q954" s="47"/>
      <c r="R954" s="47"/>
    </row>
    <row r="955" ht="14.25" customHeight="1">
      <c r="B955" s="46"/>
      <c r="L955" s="46"/>
      <c r="M955" s="46"/>
      <c r="N955" s="46"/>
      <c r="O955" s="46"/>
      <c r="P955" s="47"/>
      <c r="Q955" s="47"/>
      <c r="R955" s="47"/>
    </row>
    <row r="956" ht="14.25" customHeight="1">
      <c r="B956" s="46"/>
      <c r="L956" s="46"/>
      <c r="M956" s="46"/>
      <c r="N956" s="46"/>
      <c r="O956" s="46"/>
      <c r="P956" s="47"/>
      <c r="Q956" s="47"/>
      <c r="R956" s="47"/>
    </row>
    <row r="957" ht="14.25" customHeight="1">
      <c r="B957" s="46"/>
      <c r="L957" s="46"/>
      <c r="M957" s="46"/>
      <c r="N957" s="46"/>
      <c r="O957" s="46"/>
      <c r="P957" s="47"/>
      <c r="Q957" s="47"/>
      <c r="R957" s="47"/>
    </row>
    <row r="958" ht="14.25" customHeight="1">
      <c r="B958" s="46"/>
      <c r="L958" s="46"/>
      <c r="M958" s="46"/>
      <c r="N958" s="46"/>
      <c r="O958" s="46"/>
      <c r="P958" s="47"/>
      <c r="Q958" s="47"/>
      <c r="R958" s="47"/>
    </row>
    <row r="959" ht="14.25" customHeight="1">
      <c r="B959" s="46"/>
      <c r="L959" s="46"/>
      <c r="M959" s="46"/>
      <c r="N959" s="46"/>
      <c r="O959" s="46"/>
      <c r="P959" s="47"/>
      <c r="Q959" s="47"/>
      <c r="R959" s="47"/>
    </row>
    <row r="960" ht="14.25" customHeight="1">
      <c r="B960" s="46"/>
      <c r="L960" s="46"/>
      <c r="M960" s="46"/>
      <c r="N960" s="46"/>
      <c r="O960" s="46"/>
      <c r="P960" s="47"/>
      <c r="Q960" s="47"/>
      <c r="R960" s="47"/>
    </row>
    <row r="961" ht="14.25" customHeight="1">
      <c r="B961" s="46"/>
      <c r="L961" s="46"/>
      <c r="M961" s="46"/>
      <c r="N961" s="46"/>
      <c r="O961" s="46"/>
      <c r="P961" s="47"/>
      <c r="Q961" s="47"/>
      <c r="R961" s="47"/>
    </row>
    <row r="962" ht="14.25" customHeight="1">
      <c r="B962" s="46"/>
      <c r="L962" s="46"/>
      <c r="M962" s="46"/>
      <c r="N962" s="46"/>
      <c r="O962" s="46"/>
      <c r="P962" s="47"/>
      <c r="Q962" s="47"/>
      <c r="R962" s="47"/>
    </row>
    <row r="963" ht="14.25" customHeight="1">
      <c r="B963" s="46"/>
      <c r="L963" s="46"/>
      <c r="M963" s="46"/>
      <c r="N963" s="46"/>
      <c r="O963" s="46"/>
      <c r="P963" s="47"/>
      <c r="Q963" s="47"/>
      <c r="R963" s="47"/>
    </row>
    <row r="964" ht="14.25" customHeight="1">
      <c r="B964" s="46"/>
      <c r="L964" s="46"/>
      <c r="M964" s="46"/>
      <c r="N964" s="46"/>
      <c r="O964" s="46"/>
      <c r="P964" s="47"/>
      <c r="Q964" s="47"/>
      <c r="R964" s="47"/>
    </row>
    <row r="965" ht="14.25" customHeight="1">
      <c r="B965" s="46"/>
      <c r="L965" s="46"/>
      <c r="M965" s="46"/>
      <c r="N965" s="46"/>
      <c r="O965" s="46"/>
      <c r="P965" s="47"/>
      <c r="Q965" s="47"/>
      <c r="R965" s="47"/>
    </row>
    <row r="966" ht="14.25" customHeight="1">
      <c r="B966" s="46"/>
      <c r="L966" s="46"/>
      <c r="M966" s="46"/>
      <c r="N966" s="46"/>
      <c r="O966" s="46"/>
      <c r="P966" s="47"/>
      <c r="Q966" s="47"/>
      <c r="R966" s="47"/>
    </row>
    <row r="967" ht="14.25" customHeight="1">
      <c r="B967" s="46"/>
      <c r="L967" s="46"/>
      <c r="M967" s="46"/>
      <c r="N967" s="46"/>
      <c r="O967" s="46"/>
      <c r="P967" s="47"/>
      <c r="Q967" s="47"/>
      <c r="R967" s="47"/>
    </row>
    <row r="968" ht="14.25" customHeight="1">
      <c r="B968" s="46"/>
      <c r="L968" s="46"/>
      <c r="M968" s="46"/>
      <c r="N968" s="46"/>
      <c r="O968" s="46"/>
      <c r="P968" s="47"/>
      <c r="Q968" s="47"/>
      <c r="R968" s="47"/>
    </row>
    <row r="969" ht="14.25" customHeight="1">
      <c r="B969" s="46"/>
      <c r="L969" s="46"/>
      <c r="M969" s="46"/>
      <c r="N969" s="46"/>
      <c r="O969" s="46"/>
      <c r="P969" s="47"/>
      <c r="Q969" s="47"/>
      <c r="R969" s="47"/>
    </row>
    <row r="970" ht="14.25" customHeight="1">
      <c r="B970" s="46"/>
      <c r="L970" s="46"/>
      <c r="M970" s="46"/>
      <c r="N970" s="46"/>
      <c r="O970" s="46"/>
      <c r="P970" s="47"/>
      <c r="Q970" s="47"/>
      <c r="R970" s="47"/>
    </row>
    <row r="971" ht="14.25" customHeight="1">
      <c r="B971" s="46"/>
      <c r="L971" s="46"/>
      <c r="M971" s="46"/>
      <c r="N971" s="46"/>
      <c r="O971" s="46"/>
      <c r="P971" s="47"/>
      <c r="Q971" s="47"/>
      <c r="R971" s="47"/>
    </row>
    <row r="972" ht="14.25" customHeight="1">
      <c r="B972" s="46"/>
      <c r="L972" s="46"/>
      <c r="M972" s="46"/>
      <c r="N972" s="46"/>
      <c r="O972" s="46"/>
      <c r="P972" s="47"/>
      <c r="Q972" s="47"/>
      <c r="R972" s="47"/>
    </row>
    <row r="973" ht="14.25" customHeight="1">
      <c r="B973" s="46"/>
      <c r="L973" s="46"/>
      <c r="M973" s="46"/>
      <c r="N973" s="46"/>
      <c r="O973" s="46"/>
      <c r="P973" s="47"/>
      <c r="Q973" s="47"/>
      <c r="R973" s="47"/>
    </row>
    <row r="974" ht="14.25" customHeight="1">
      <c r="B974" s="46"/>
      <c r="L974" s="46"/>
      <c r="M974" s="46"/>
      <c r="N974" s="46"/>
      <c r="O974" s="46"/>
      <c r="P974" s="47"/>
      <c r="Q974" s="47"/>
      <c r="R974" s="47"/>
    </row>
    <row r="975" ht="14.25" customHeight="1">
      <c r="B975" s="46"/>
      <c r="L975" s="46"/>
      <c r="M975" s="46"/>
      <c r="N975" s="46"/>
      <c r="O975" s="46"/>
      <c r="P975" s="47"/>
      <c r="Q975" s="47"/>
      <c r="R975" s="47"/>
    </row>
    <row r="976" ht="14.25" customHeight="1">
      <c r="B976" s="46"/>
      <c r="L976" s="46"/>
      <c r="M976" s="46"/>
      <c r="N976" s="46"/>
      <c r="O976" s="46"/>
      <c r="P976" s="47"/>
      <c r="Q976" s="47"/>
      <c r="R976" s="47"/>
    </row>
    <row r="977" ht="14.25" customHeight="1">
      <c r="B977" s="46"/>
      <c r="L977" s="46"/>
      <c r="M977" s="46"/>
      <c r="N977" s="46"/>
      <c r="O977" s="46"/>
      <c r="P977" s="47"/>
      <c r="Q977" s="47"/>
      <c r="R977" s="47"/>
    </row>
    <row r="978" ht="14.25" customHeight="1">
      <c r="B978" s="46"/>
      <c r="L978" s="46"/>
      <c r="M978" s="46"/>
      <c r="N978" s="46"/>
      <c r="O978" s="46"/>
      <c r="P978" s="47"/>
      <c r="Q978" s="47"/>
      <c r="R978" s="47"/>
    </row>
    <row r="979" ht="14.25" customHeight="1">
      <c r="B979" s="46"/>
      <c r="L979" s="46"/>
      <c r="M979" s="46"/>
      <c r="N979" s="46"/>
      <c r="O979" s="46"/>
      <c r="P979" s="47"/>
      <c r="Q979" s="47"/>
      <c r="R979" s="47"/>
    </row>
    <row r="980" ht="14.25" customHeight="1">
      <c r="B980" s="46"/>
      <c r="L980" s="46"/>
      <c r="M980" s="46"/>
      <c r="N980" s="46"/>
      <c r="O980" s="46"/>
      <c r="P980" s="47"/>
      <c r="Q980" s="47"/>
      <c r="R980" s="47"/>
    </row>
    <row r="981" ht="14.25" customHeight="1">
      <c r="B981" s="46"/>
      <c r="L981" s="46"/>
      <c r="M981" s="46"/>
      <c r="N981" s="46"/>
      <c r="O981" s="46"/>
      <c r="P981" s="47"/>
      <c r="Q981" s="47"/>
      <c r="R981" s="47"/>
    </row>
    <row r="982" ht="14.25" customHeight="1">
      <c r="B982" s="46"/>
      <c r="L982" s="46"/>
      <c r="M982" s="46"/>
      <c r="N982" s="46"/>
      <c r="O982" s="46"/>
      <c r="P982" s="47"/>
      <c r="Q982" s="47"/>
      <c r="R982" s="47"/>
    </row>
    <row r="983" ht="14.25" customHeight="1">
      <c r="B983" s="46"/>
      <c r="L983" s="46"/>
      <c r="M983" s="46"/>
      <c r="N983" s="46"/>
      <c r="O983" s="46"/>
      <c r="P983" s="47"/>
      <c r="Q983" s="47"/>
      <c r="R983" s="47"/>
    </row>
    <row r="984" ht="14.25" customHeight="1">
      <c r="B984" s="46"/>
      <c r="L984" s="46"/>
      <c r="M984" s="46"/>
      <c r="N984" s="46"/>
      <c r="O984" s="46"/>
      <c r="P984" s="47"/>
      <c r="Q984" s="47"/>
      <c r="R984" s="47"/>
    </row>
    <row r="985" ht="14.25" customHeight="1">
      <c r="B985" s="46"/>
      <c r="L985" s="46"/>
      <c r="M985" s="46"/>
      <c r="N985" s="46"/>
      <c r="O985" s="46"/>
      <c r="P985" s="47"/>
      <c r="Q985" s="47"/>
      <c r="R985" s="47"/>
    </row>
    <row r="986" ht="14.25" customHeight="1">
      <c r="B986" s="46"/>
      <c r="L986" s="46"/>
      <c r="M986" s="46"/>
      <c r="N986" s="46"/>
      <c r="O986" s="46"/>
      <c r="P986" s="47"/>
      <c r="Q986" s="47"/>
      <c r="R986" s="47"/>
    </row>
    <row r="987" ht="14.25" customHeight="1">
      <c r="B987" s="46"/>
      <c r="L987" s="46"/>
      <c r="M987" s="46"/>
      <c r="N987" s="46"/>
      <c r="O987" s="46"/>
      <c r="P987" s="47"/>
      <c r="Q987" s="47"/>
      <c r="R987" s="47"/>
    </row>
    <row r="988" ht="14.25" customHeight="1">
      <c r="B988" s="46"/>
      <c r="L988" s="46"/>
      <c r="M988" s="46"/>
      <c r="N988" s="46"/>
      <c r="O988" s="46"/>
      <c r="P988" s="47"/>
      <c r="Q988" s="47"/>
      <c r="R988" s="47"/>
    </row>
    <row r="989" ht="14.25" customHeight="1">
      <c r="B989" s="46"/>
      <c r="L989" s="46"/>
      <c r="M989" s="46"/>
      <c r="N989" s="46"/>
      <c r="O989" s="46"/>
      <c r="P989" s="47"/>
      <c r="Q989" s="47"/>
      <c r="R989" s="47"/>
    </row>
    <row r="990" ht="14.25" customHeight="1">
      <c r="B990" s="46"/>
      <c r="L990" s="46"/>
      <c r="M990" s="46"/>
      <c r="N990" s="46"/>
      <c r="O990" s="46"/>
      <c r="P990" s="47"/>
      <c r="Q990" s="47"/>
      <c r="R990" s="47"/>
    </row>
    <row r="991" ht="14.25" customHeight="1">
      <c r="B991" s="46"/>
      <c r="L991" s="46"/>
      <c r="M991" s="46"/>
      <c r="N991" s="46"/>
      <c r="O991" s="46"/>
      <c r="P991" s="47"/>
      <c r="Q991" s="47"/>
      <c r="R991" s="47"/>
    </row>
    <row r="992" ht="14.25" customHeight="1">
      <c r="B992" s="46"/>
      <c r="L992" s="46"/>
      <c r="M992" s="46"/>
      <c r="N992" s="46"/>
      <c r="O992" s="46"/>
      <c r="P992" s="47"/>
      <c r="Q992" s="47"/>
      <c r="R992" s="47"/>
    </row>
    <row r="993" ht="14.25" customHeight="1">
      <c r="B993" s="46"/>
      <c r="L993" s="46"/>
      <c r="M993" s="46"/>
      <c r="N993" s="46"/>
      <c r="O993" s="46"/>
      <c r="P993" s="47"/>
      <c r="Q993" s="47"/>
      <c r="R993" s="47"/>
    </row>
    <row r="994" ht="14.25" customHeight="1">
      <c r="B994" s="46"/>
      <c r="L994" s="46"/>
      <c r="M994" s="46"/>
      <c r="N994" s="46"/>
      <c r="O994" s="46"/>
      <c r="P994" s="47"/>
      <c r="Q994" s="47"/>
      <c r="R994" s="47"/>
    </row>
    <row r="995" ht="14.25" customHeight="1">
      <c r="B995" s="46"/>
      <c r="L995" s="46"/>
      <c r="M995" s="46"/>
      <c r="N995" s="46"/>
      <c r="O995" s="46"/>
      <c r="P995" s="47"/>
      <c r="Q995" s="47"/>
      <c r="R995" s="47"/>
    </row>
    <row r="996" ht="14.25" customHeight="1">
      <c r="B996" s="46"/>
      <c r="L996" s="46"/>
      <c r="M996" s="46"/>
      <c r="N996" s="46"/>
      <c r="O996" s="46"/>
      <c r="P996" s="47"/>
      <c r="Q996" s="47"/>
      <c r="R996" s="47"/>
    </row>
  </sheetData>
  <autoFilter ref="$A$1:$P$79"/>
  <mergeCells count="27">
    <mergeCell ref="P27:P38"/>
    <mergeCell ref="P39:P43"/>
    <mergeCell ref="P19:P26"/>
    <mergeCell ref="P44:P46"/>
    <mergeCell ref="P14:P18"/>
    <mergeCell ref="P47:P51"/>
    <mergeCell ref="P7:P13"/>
    <mergeCell ref="P52:P56"/>
    <mergeCell ref="P59:P61"/>
    <mergeCell ref="P62:P65"/>
    <mergeCell ref="P66:P68"/>
    <mergeCell ref="P69:P73"/>
    <mergeCell ref="P74:P76"/>
    <mergeCell ref="P77:P79"/>
    <mergeCell ref="B52:B58"/>
    <mergeCell ref="B59:B61"/>
    <mergeCell ref="B62:B68"/>
    <mergeCell ref="B69:B73"/>
    <mergeCell ref="B74:B76"/>
    <mergeCell ref="B77:B79"/>
    <mergeCell ref="B2:B6"/>
    <mergeCell ref="P2:P6"/>
    <mergeCell ref="B7:B18"/>
    <mergeCell ref="B19:B43"/>
    <mergeCell ref="B44:B46"/>
    <mergeCell ref="B47:B51"/>
    <mergeCell ref="P57:P58"/>
  </mergeCells>
  <conditionalFormatting sqref="K2:O79">
    <cfRule type="cellIs" dxfId="4" priority="1" operator="equal">
      <formula>"Must"</formula>
    </cfRule>
  </conditionalFormatting>
  <conditionalFormatting sqref="K2:O79">
    <cfRule type="cellIs" dxfId="5" priority="2" operator="equal">
      <formula>"Should"</formula>
    </cfRule>
  </conditionalFormatting>
  <conditionalFormatting sqref="K2:O79">
    <cfRule type="cellIs" dxfId="6" priority="3" operator="equal">
      <formula>"Could"</formula>
    </cfRule>
  </conditionalFormatting>
  <dataValidations>
    <dataValidation type="list" allowBlank="1" showErrorMessage="1" sqref="N2:N79">
      <formula1>"13/10,22/10,30/10"</formula1>
    </dataValidation>
    <dataValidation type="list" allowBlank="1" showErrorMessage="1" sqref="M2:M79">
      <formula1>"1/10,14/10,23/10"</formula1>
    </dataValidation>
    <dataValidation type="list" allowBlank="1" showErrorMessage="1" sqref="L2:L79">
      <formula1>"Interaction 1,Interaction 2,Interaction 3"</formula1>
    </dataValidation>
    <dataValidation type="list" allowBlank="1" showErrorMessage="1" sqref="O2:O79">
      <formula1>"Done,Processing,Late,Not Start"</formula1>
    </dataValidation>
  </dataValidations>
  <hyperlinks>
    <hyperlink r:id="rId1" ref="R2"/>
  </hyperlinks>
  <printOptions/>
  <pageMargins bottom="1.0" footer="0.0" header="0.0" left="0.75" right="0.75" top="1.0"/>
  <pageSetup fitToHeight="0" orientation="landscape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4.0"/>
    <col customWidth="1" min="2" max="2" width="26.0"/>
    <col customWidth="1" min="3" max="3" width="70.0"/>
    <col customWidth="1" min="4" max="4" width="46.0"/>
    <col customWidth="1" min="5" max="26" width="9.0"/>
  </cols>
  <sheetData>
    <row r="1" ht="14.25" customHeight="1">
      <c r="A1" s="29" t="s">
        <v>113</v>
      </c>
      <c r="B1" s="29" t="s">
        <v>130</v>
      </c>
      <c r="C1" s="29" t="s">
        <v>20</v>
      </c>
      <c r="D1" s="29" t="s">
        <v>136</v>
      </c>
    </row>
    <row r="2" ht="14.25" customHeight="1">
      <c r="A2" s="31" t="s">
        <v>26</v>
      </c>
      <c r="B2" s="32" t="s">
        <v>149</v>
      </c>
      <c r="C2" s="32" t="s">
        <v>157</v>
      </c>
      <c r="D2" s="32" t="s">
        <v>158</v>
      </c>
    </row>
    <row r="3" ht="14.25" customHeight="1">
      <c r="A3" s="31" t="s">
        <v>28</v>
      </c>
      <c r="B3" s="32" t="s">
        <v>171</v>
      </c>
      <c r="C3" s="32" t="s">
        <v>178</v>
      </c>
      <c r="D3" s="32" t="s">
        <v>179</v>
      </c>
    </row>
    <row r="4" ht="14.25" customHeight="1">
      <c r="A4" s="31" t="s">
        <v>30</v>
      </c>
      <c r="B4" s="32" t="s">
        <v>171</v>
      </c>
      <c r="C4" s="32" t="s">
        <v>187</v>
      </c>
      <c r="D4" s="32" t="s">
        <v>192</v>
      </c>
    </row>
    <row r="5" ht="14.25" customHeight="1">
      <c r="A5" s="31" t="s">
        <v>31</v>
      </c>
      <c r="B5" s="32" t="s">
        <v>171</v>
      </c>
      <c r="C5" s="32" t="s">
        <v>205</v>
      </c>
      <c r="D5" s="32" t="s">
        <v>207</v>
      </c>
    </row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customSheetViews>
    <customSheetView guid="{565B340A-800A-4B5A-8AC0-EE51B20EFC38}" filter="1" showAutoFilter="1">
      <autoFilter ref="$A$1:$D$5"/>
    </customSheetView>
  </customSheetViews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56.0"/>
    <col customWidth="1" min="2" max="3" width="14.0"/>
    <col customWidth="1" min="4" max="5" width="16.0"/>
    <col customWidth="1" min="6" max="26" width="9.0"/>
  </cols>
  <sheetData>
    <row r="1" ht="14.25" customHeight="1">
      <c r="A1" s="4" t="s">
        <v>18</v>
      </c>
      <c r="B1" s="4" t="s">
        <v>26</v>
      </c>
      <c r="C1" s="4" t="s">
        <v>28</v>
      </c>
      <c r="D1" s="4" t="s">
        <v>30</v>
      </c>
      <c r="E1" s="4" t="s">
        <v>31</v>
      </c>
    </row>
    <row r="2" ht="14.25" customHeight="1">
      <c r="A2" s="12" t="s">
        <v>38</v>
      </c>
      <c r="B2" s="14" t="s">
        <v>45</v>
      </c>
      <c r="C2" s="14" t="s">
        <v>45</v>
      </c>
      <c r="D2" s="14" t="s">
        <v>45</v>
      </c>
      <c r="E2" s="14" t="s">
        <v>45</v>
      </c>
    </row>
    <row r="3" ht="14.25" customHeight="1">
      <c r="A3" s="12" t="s">
        <v>53</v>
      </c>
      <c r="B3" s="17" t="s">
        <v>55</v>
      </c>
      <c r="C3" s="14" t="s">
        <v>45</v>
      </c>
      <c r="D3" s="14" t="s">
        <v>45</v>
      </c>
      <c r="E3" s="14" t="s">
        <v>45</v>
      </c>
    </row>
    <row r="4" ht="14.25" customHeight="1">
      <c r="A4" s="12" t="s">
        <v>59</v>
      </c>
      <c r="B4" s="17" t="s">
        <v>55</v>
      </c>
      <c r="C4" s="14" t="s">
        <v>45</v>
      </c>
      <c r="D4" s="20" t="s">
        <v>63</v>
      </c>
      <c r="E4" s="20" t="s">
        <v>63</v>
      </c>
    </row>
    <row r="5" ht="14.25" customHeight="1">
      <c r="A5" s="12" t="s">
        <v>65</v>
      </c>
      <c r="B5" s="17" t="s">
        <v>55</v>
      </c>
      <c r="C5" s="14" t="s">
        <v>45</v>
      </c>
      <c r="D5" s="17" t="s">
        <v>55</v>
      </c>
      <c r="E5" s="17" t="s">
        <v>55</v>
      </c>
    </row>
    <row r="6" ht="14.25" customHeight="1">
      <c r="A6" s="12" t="s">
        <v>66</v>
      </c>
      <c r="B6" s="17" t="s">
        <v>55</v>
      </c>
      <c r="C6" s="17" t="s">
        <v>55</v>
      </c>
      <c r="D6" s="14" t="s">
        <v>45</v>
      </c>
      <c r="E6" s="14" t="s">
        <v>45</v>
      </c>
    </row>
    <row r="7" ht="14.25" customHeight="1">
      <c r="A7" s="12" t="s">
        <v>67</v>
      </c>
      <c r="B7" s="17" t="s">
        <v>55</v>
      </c>
      <c r="C7" s="17" t="s">
        <v>55</v>
      </c>
      <c r="D7" s="14" t="s">
        <v>45</v>
      </c>
      <c r="E7" s="14" t="s">
        <v>45</v>
      </c>
    </row>
    <row r="8" ht="14.25" customHeight="1">
      <c r="A8" s="12" t="s">
        <v>68</v>
      </c>
      <c r="B8" s="17" t="s">
        <v>55</v>
      </c>
      <c r="C8" s="17" t="s">
        <v>55</v>
      </c>
      <c r="D8" s="14" t="s">
        <v>45</v>
      </c>
      <c r="E8" s="14" t="s">
        <v>45</v>
      </c>
    </row>
    <row r="9" ht="14.25" customHeight="1">
      <c r="A9" s="12" t="s">
        <v>69</v>
      </c>
      <c r="B9" s="17" t="s">
        <v>55</v>
      </c>
      <c r="C9" s="17" t="s">
        <v>55</v>
      </c>
      <c r="D9" s="14" t="s">
        <v>45</v>
      </c>
      <c r="E9" s="14" t="s">
        <v>45</v>
      </c>
    </row>
    <row r="10" ht="14.25" customHeight="1">
      <c r="A10" s="12" t="s">
        <v>70</v>
      </c>
      <c r="B10" s="17" t="s">
        <v>55</v>
      </c>
      <c r="C10" s="17" t="s">
        <v>55</v>
      </c>
      <c r="D10" s="14" t="s">
        <v>45</v>
      </c>
      <c r="E10" s="14" t="s">
        <v>45</v>
      </c>
    </row>
    <row r="11" ht="14.25" customHeight="1">
      <c r="A11" s="12" t="s">
        <v>72</v>
      </c>
      <c r="B11" s="17" t="s">
        <v>55</v>
      </c>
      <c r="C11" s="17" t="s">
        <v>55</v>
      </c>
      <c r="D11" s="17" t="s">
        <v>55</v>
      </c>
      <c r="E11" s="14" t="s">
        <v>45</v>
      </c>
    </row>
    <row r="12" ht="14.25" customHeight="1">
      <c r="A12" s="12" t="s">
        <v>73</v>
      </c>
      <c r="B12" s="17" t="s">
        <v>55</v>
      </c>
      <c r="C12" s="17" t="s">
        <v>55</v>
      </c>
      <c r="D12" s="17" t="s">
        <v>55</v>
      </c>
      <c r="E12" s="14" t="s">
        <v>45</v>
      </c>
    </row>
    <row r="13" ht="14.25" customHeight="1">
      <c r="A13" s="12" t="s">
        <v>74</v>
      </c>
      <c r="B13" s="17" t="s">
        <v>55</v>
      </c>
      <c r="C13" s="17" t="s">
        <v>55</v>
      </c>
      <c r="D13" s="17" t="s">
        <v>55</v>
      </c>
      <c r="E13" s="14" t="s">
        <v>45</v>
      </c>
    </row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52.0"/>
    <col customWidth="1" min="2" max="2" width="26.0"/>
    <col customWidth="1" min="3" max="6" width="12.0"/>
    <col customWidth="1" min="7" max="26" width="9.0"/>
  </cols>
  <sheetData>
    <row r="1" ht="14.25" customHeight="1">
      <c r="A1" s="4" t="s">
        <v>193</v>
      </c>
      <c r="B1" s="4" t="s">
        <v>47</v>
      </c>
      <c r="C1" s="4" t="s">
        <v>26</v>
      </c>
      <c r="D1" s="4" t="s">
        <v>28</v>
      </c>
      <c r="E1" s="4" t="s">
        <v>30</v>
      </c>
      <c r="F1" s="4" t="s">
        <v>31</v>
      </c>
    </row>
    <row r="2" ht="14.25" customHeight="1">
      <c r="A2" s="12" t="s">
        <v>203</v>
      </c>
      <c r="B2" s="12" t="s">
        <v>204</v>
      </c>
      <c r="C2" s="33" t="s">
        <v>206</v>
      </c>
      <c r="D2" s="35" t="s">
        <v>208</v>
      </c>
      <c r="E2" s="35" t="s">
        <v>208</v>
      </c>
      <c r="F2" s="35" t="s">
        <v>208</v>
      </c>
    </row>
    <row r="3" ht="14.25" customHeight="1">
      <c r="A3" s="12" t="s">
        <v>214</v>
      </c>
      <c r="B3" s="12" t="s">
        <v>215</v>
      </c>
      <c r="C3" s="33" t="s">
        <v>206</v>
      </c>
      <c r="D3" s="33" t="s">
        <v>206</v>
      </c>
      <c r="E3" s="33" t="s">
        <v>206</v>
      </c>
      <c r="F3" s="33" t="s">
        <v>206</v>
      </c>
    </row>
    <row r="4" ht="14.25" customHeight="1">
      <c r="A4" s="12" t="s">
        <v>217</v>
      </c>
      <c r="B4" s="12" t="s">
        <v>218</v>
      </c>
      <c r="C4" s="33" t="s">
        <v>206</v>
      </c>
      <c r="D4" s="33" t="s">
        <v>206</v>
      </c>
      <c r="E4" s="33" t="s">
        <v>206</v>
      </c>
      <c r="F4" s="33" t="s">
        <v>206</v>
      </c>
    </row>
    <row r="5" ht="14.25" customHeight="1">
      <c r="A5" s="12" t="s">
        <v>219</v>
      </c>
      <c r="B5" s="12" t="s">
        <v>220</v>
      </c>
      <c r="C5" s="20" t="s">
        <v>221</v>
      </c>
      <c r="D5" s="33" t="s">
        <v>206</v>
      </c>
      <c r="E5" s="35" t="s">
        <v>208</v>
      </c>
      <c r="F5" s="35" t="s">
        <v>208</v>
      </c>
    </row>
    <row r="6" ht="14.25" customHeight="1">
      <c r="A6" s="12" t="s">
        <v>225</v>
      </c>
      <c r="B6" s="12" t="s">
        <v>227</v>
      </c>
      <c r="C6" s="20" t="s">
        <v>221</v>
      </c>
      <c r="D6" s="33" t="s">
        <v>206</v>
      </c>
      <c r="E6" s="35" t="s">
        <v>208</v>
      </c>
      <c r="F6" s="35" t="s">
        <v>208</v>
      </c>
    </row>
    <row r="7" ht="14.25" customHeight="1">
      <c r="A7" s="12" t="s">
        <v>230</v>
      </c>
      <c r="B7" s="12" t="s">
        <v>231</v>
      </c>
      <c r="C7" s="35" t="s">
        <v>208</v>
      </c>
      <c r="D7" s="33" t="s">
        <v>206</v>
      </c>
      <c r="E7" s="35" t="s">
        <v>208</v>
      </c>
      <c r="F7" s="35" t="s">
        <v>208</v>
      </c>
    </row>
    <row r="8" ht="14.25" customHeight="1">
      <c r="A8" s="12" t="s">
        <v>232</v>
      </c>
      <c r="B8" s="12" t="s">
        <v>233</v>
      </c>
      <c r="C8" s="35" t="s">
        <v>208</v>
      </c>
      <c r="D8" s="33" t="s">
        <v>206</v>
      </c>
      <c r="E8" s="35" t="s">
        <v>208</v>
      </c>
      <c r="F8" s="35" t="s">
        <v>208</v>
      </c>
    </row>
    <row r="9" ht="14.25" customHeight="1">
      <c r="A9" s="12" t="s">
        <v>234</v>
      </c>
      <c r="B9" s="12" t="s">
        <v>236</v>
      </c>
      <c r="C9" s="35" t="s">
        <v>208</v>
      </c>
      <c r="D9" s="33" t="s">
        <v>206</v>
      </c>
      <c r="E9" s="35" t="s">
        <v>208</v>
      </c>
      <c r="F9" s="35" t="s">
        <v>208</v>
      </c>
    </row>
    <row r="10" ht="14.25" customHeight="1">
      <c r="A10" s="12" t="s">
        <v>180</v>
      </c>
      <c r="B10" s="12" t="s">
        <v>181</v>
      </c>
      <c r="C10" s="35" t="s">
        <v>208</v>
      </c>
      <c r="D10" s="33" t="s">
        <v>206</v>
      </c>
      <c r="E10" s="35" t="s">
        <v>208</v>
      </c>
      <c r="F10" s="35" t="s">
        <v>208</v>
      </c>
    </row>
    <row r="11" ht="14.25" customHeight="1">
      <c r="A11" s="12" t="s">
        <v>244</v>
      </c>
      <c r="B11" s="12" t="s">
        <v>245</v>
      </c>
      <c r="C11" s="35" t="s">
        <v>208</v>
      </c>
      <c r="D11" s="33" t="s">
        <v>206</v>
      </c>
      <c r="E11" s="33" t="s">
        <v>206</v>
      </c>
      <c r="F11" s="33" t="s">
        <v>206</v>
      </c>
    </row>
    <row r="12" ht="14.25" customHeight="1">
      <c r="A12" s="12" t="s">
        <v>155</v>
      </c>
      <c r="B12" s="12" t="s">
        <v>246</v>
      </c>
      <c r="C12" s="35" t="s">
        <v>208</v>
      </c>
      <c r="D12" s="33" t="s">
        <v>206</v>
      </c>
      <c r="E12" s="35" t="s">
        <v>208</v>
      </c>
      <c r="F12" s="35" t="s">
        <v>208</v>
      </c>
    </row>
    <row r="13" ht="14.25" customHeight="1">
      <c r="A13" s="12" t="s">
        <v>247</v>
      </c>
      <c r="B13" s="12" t="s">
        <v>248</v>
      </c>
      <c r="C13" s="35" t="s">
        <v>208</v>
      </c>
      <c r="D13" s="35" t="s">
        <v>208</v>
      </c>
      <c r="E13" s="33" t="s">
        <v>206</v>
      </c>
      <c r="F13" s="33" t="s">
        <v>206</v>
      </c>
    </row>
    <row r="14" ht="14.25" customHeight="1">
      <c r="A14" s="12" t="s">
        <v>252</v>
      </c>
      <c r="B14" s="12" t="s">
        <v>94</v>
      </c>
      <c r="C14" s="35" t="s">
        <v>208</v>
      </c>
      <c r="D14" s="35" t="s">
        <v>208</v>
      </c>
      <c r="E14" s="33" t="s">
        <v>206</v>
      </c>
      <c r="F14" s="33" t="s">
        <v>206</v>
      </c>
    </row>
    <row r="15" ht="14.25" customHeight="1">
      <c r="A15" s="12" t="s">
        <v>256</v>
      </c>
      <c r="B15" s="12" t="s">
        <v>257</v>
      </c>
      <c r="C15" s="35" t="s">
        <v>208</v>
      </c>
      <c r="D15" s="35" t="s">
        <v>208</v>
      </c>
      <c r="E15" s="33" t="s">
        <v>206</v>
      </c>
      <c r="F15" s="33" t="s">
        <v>206</v>
      </c>
    </row>
    <row r="16" ht="14.25" customHeight="1">
      <c r="A16" s="12" t="s">
        <v>258</v>
      </c>
      <c r="B16" s="12" t="s">
        <v>259</v>
      </c>
      <c r="C16" s="35" t="s">
        <v>208</v>
      </c>
      <c r="D16" s="35" t="s">
        <v>208</v>
      </c>
      <c r="E16" s="33" t="s">
        <v>206</v>
      </c>
      <c r="F16" s="33" t="s">
        <v>206</v>
      </c>
    </row>
    <row r="17" ht="14.25" customHeight="1">
      <c r="A17" s="12" t="s">
        <v>260</v>
      </c>
      <c r="B17" s="12" t="s">
        <v>261</v>
      </c>
      <c r="C17" s="35" t="s">
        <v>208</v>
      </c>
      <c r="D17" s="35" t="s">
        <v>208</v>
      </c>
      <c r="E17" s="35" t="s">
        <v>208</v>
      </c>
      <c r="F17" s="33" t="s">
        <v>206</v>
      </c>
    </row>
    <row r="18" ht="14.25" customHeight="1">
      <c r="A18" s="12" t="s">
        <v>196</v>
      </c>
      <c r="B18" s="12" t="s">
        <v>262</v>
      </c>
      <c r="C18" s="35" t="s">
        <v>208</v>
      </c>
      <c r="D18" s="35" t="s">
        <v>208</v>
      </c>
      <c r="E18" s="35" t="s">
        <v>208</v>
      </c>
      <c r="F18" s="33" t="s">
        <v>206</v>
      </c>
    </row>
    <row r="19" ht="14.25" customHeight="1">
      <c r="A19" s="12" t="s">
        <v>263</v>
      </c>
      <c r="B19" s="12" t="s">
        <v>197</v>
      </c>
      <c r="C19" s="35" t="s">
        <v>208</v>
      </c>
      <c r="D19" s="35" t="s">
        <v>208</v>
      </c>
      <c r="E19" s="35" t="s">
        <v>208</v>
      </c>
      <c r="F19" s="33" t="s">
        <v>206</v>
      </c>
    </row>
    <row r="20" ht="14.25" customHeight="1"/>
    <row r="21" ht="14.25" customHeight="1">
      <c r="A21" s="37" t="s">
        <v>264</v>
      </c>
    </row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0"/>
    <col customWidth="1" min="2" max="2" width="42.0"/>
    <col customWidth="1" min="3" max="3" width="30.0"/>
    <col customWidth="1" min="4" max="26" width="9.0"/>
  </cols>
  <sheetData>
    <row r="1" ht="14.25" customHeight="1">
      <c r="A1" s="29" t="s">
        <v>396</v>
      </c>
      <c r="B1" s="29" t="s">
        <v>401</v>
      </c>
      <c r="C1" s="29" t="s">
        <v>405</v>
      </c>
    </row>
    <row r="2" ht="14.25" customHeight="1">
      <c r="A2" s="41" t="s">
        <v>412</v>
      </c>
      <c r="B2" s="32" t="s">
        <v>415</v>
      </c>
      <c r="C2" s="32" t="s">
        <v>421</v>
      </c>
    </row>
    <row r="3" ht="14.25" customHeight="1">
      <c r="A3" s="41" t="s">
        <v>422</v>
      </c>
      <c r="B3" s="32" t="s">
        <v>427</v>
      </c>
      <c r="C3" s="32" t="s">
        <v>421</v>
      </c>
    </row>
    <row r="4" ht="14.25" customHeight="1">
      <c r="A4" s="41" t="s">
        <v>442</v>
      </c>
      <c r="B4" s="32" t="s">
        <v>443</v>
      </c>
      <c r="C4" s="32" t="s">
        <v>421</v>
      </c>
    </row>
    <row r="5" ht="14.25" customHeight="1">
      <c r="A5" s="41" t="s">
        <v>450</v>
      </c>
      <c r="B5" s="32" t="s">
        <v>451</v>
      </c>
      <c r="C5" s="32" t="s">
        <v>421</v>
      </c>
    </row>
    <row r="6" ht="14.25" customHeight="1">
      <c r="A6" s="41" t="s">
        <v>454</v>
      </c>
      <c r="B6" s="32" t="s">
        <v>459</v>
      </c>
      <c r="C6" s="32" t="s">
        <v>421</v>
      </c>
    </row>
    <row r="7" ht="14.25" customHeight="1">
      <c r="A7" s="41" t="s">
        <v>462</v>
      </c>
      <c r="B7" s="32" t="s">
        <v>467</v>
      </c>
      <c r="C7" s="32" t="s">
        <v>421</v>
      </c>
    </row>
    <row r="8" ht="14.25" customHeight="1">
      <c r="A8" s="41" t="s">
        <v>474</v>
      </c>
      <c r="B8" s="32" t="s">
        <v>477</v>
      </c>
      <c r="C8" s="32" t="s">
        <v>421</v>
      </c>
    </row>
    <row r="9" ht="14.25" customHeight="1">
      <c r="A9" s="41" t="s">
        <v>481</v>
      </c>
      <c r="B9" s="32" t="s">
        <v>482</v>
      </c>
      <c r="C9" s="32" t="s">
        <v>487</v>
      </c>
    </row>
    <row r="10" ht="14.25" customHeight="1">
      <c r="A10" s="41" t="s">
        <v>491</v>
      </c>
      <c r="B10" s="32" t="s">
        <v>492</v>
      </c>
      <c r="C10" s="32" t="s">
        <v>487</v>
      </c>
    </row>
    <row r="11" ht="14.25" customHeight="1">
      <c r="A11" s="41" t="s">
        <v>500</v>
      </c>
      <c r="B11" s="32" t="s">
        <v>501</v>
      </c>
      <c r="C11" s="32" t="s">
        <v>487</v>
      </c>
    </row>
    <row r="12" ht="14.25" customHeight="1">
      <c r="A12" s="41" t="s">
        <v>513</v>
      </c>
      <c r="B12" s="32" t="s">
        <v>517</v>
      </c>
      <c r="C12" s="32" t="s">
        <v>487</v>
      </c>
    </row>
    <row r="13" ht="14.25" customHeight="1">
      <c r="A13" s="41" t="s">
        <v>519</v>
      </c>
      <c r="B13" s="32" t="s">
        <v>525</v>
      </c>
      <c r="C13" s="32" t="s">
        <v>487</v>
      </c>
    </row>
    <row r="14" ht="14.25" customHeight="1">
      <c r="A14" s="41" t="s">
        <v>526</v>
      </c>
      <c r="B14" s="32" t="s">
        <v>533</v>
      </c>
      <c r="C14" s="32" t="s">
        <v>487</v>
      </c>
    </row>
    <row r="15" ht="14.25" customHeight="1">
      <c r="A15" s="41" t="s">
        <v>536</v>
      </c>
      <c r="B15" s="32" t="s">
        <v>542</v>
      </c>
      <c r="C15" s="32" t="s">
        <v>543</v>
      </c>
    </row>
    <row r="16" ht="14.25" customHeight="1">
      <c r="A16" s="41" t="s">
        <v>300</v>
      </c>
      <c r="B16" s="32" t="s">
        <v>548</v>
      </c>
      <c r="C16" s="32" t="s">
        <v>543</v>
      </c>
    </row>
    <row r="17" ht="14.25" customHeight="1">
      <c r="A17" s="41" t="s">
        <v>551</v>
      </c>
      <c r="B17" s="32" t="s">
        <v>552</v>
      </c>
      <c r="C17" s="32" t="s">
        <v>543</v>
      </c>
    </row>
    <row r="18" ht="14.25" customHeight="1">
      <c r="A18" s="41" t="s">
        <v>560</v>
      </c>
      <c r="B18" s="32" t="s">
        <v>561</v>
      </c>
      <c r="C18" s="32" t="s">
        <v>543</v>
      </c>
    </row>
    <row r="19" ht="14.25" customHeight="1">
      <c r="A19" s="41" t="s">
        <v>567</v>
      </c>
      <c r="B19" s="32" t="s">
        <v>568</v>
      </c>
      <c r="C19" s="32" t="s">
        <v>543</v>
      </c>
    </row>
    <row r="20" ht="14.25" customHeight="1">
      <c r="A20" s="41" t="s">
        <v>371</v>
      </c>
      <c r="B20" s="32" t="s">
        <v>575</v>
      </c>
      <c r="C20" s="32" t="s">
        <v>543</v>
      </c>
    </row>
    <row r="21" ht="14.25" customHeight="1">
      <c r="A21" s="41" t="s">
        <v>577</v>
      </c>
      <c r="B21" s="32" t="s">
        <v>578</v>
      </c>
      <c r="C21" s="32" t="s">
        <v>543</v>
      </c>
    </row>
    <row r="22" ht="14.25" customHeight="1">
      <c r="A22" s="41" t="s">
        <v>420</v>
      </c>
      <c r="B22" s="32" t="s">
        <v>585</v>
      </c>
      <c r="C22" s="32" t="s">
        <v>543</v>
      </c>
    </row>
    <row r="23" ht="14.25" customHeight="1">
      <c r="A23" s="41" t="s">
        <v>588</v>
      </c>
      <c r="B23" s="32" t="s">
        <v>592</v>
      </c>
      <c r="C23" s="32" t="s">
        <v>93</v>
      </c>
    </row>
    <row r="24" ht="14.25" customHeight="1">
      <c r="A24" s="41" t="s">
        <v>594</v>
      </c>
      <c r="B24" s="32" t="s">
        <v>599</v>
      </c>
      <c r="C24" s="32" t="s">
        <v>93</v>
      </c>
    </row>
    <row r="25" ht="14.25" customHeight="1">
      <c r="A25" s="41" t="s">
        <v>602</v>
      </c>
      <c r="B25" s="32" t="s">
        <v>605</v>
      </c>
      <c r="C25" s="32" t="s">
        <v>93</v>
      </c>
    </row>
    <row r="26" ht="14.25" customHeight="1">
      <c r="A26" s="41" t="s">
        <v>610</v>
      </c>
      <c r="B26" s="32" t="s">
        <v>611</v>
      </c>
      <c r="C26" s="32" t="s">
        <v>93</v>
      </c>
    </row>
    <row r="27" ht="14.25" customHeight="1">
      <c r="A27" s="41" t="s">
        <v>614</v>
      </c>
      <c r="B27" s="32" t="s">
        <v>615</v>
      </c>
      <c r="C27" s="32" t="s">
        <v>93</v>
      </c>
    </row>
    <row r="28" ht="14.25" customHeight="1">
      <c r="A28" s="41" t="s">
        <v>620</v>
      </c>
      <c r="B28" s="32" t="s">
        <v>622</v>
      </c>
      <c r="C28" s="32" t="s">
        <v>93</v>
      </c>
    </row>
    <row r="29" ht="14.25" customHeight="1">
      <c r="A29" s="41" t="s">
        <v>628</v>
      </c>
      <c r="B29" s="32" t="s">
        <v>629</v>
      </c>
      <c r="C29" s="32" t="s">
        <v>93</v>
      </c>
    </row>
    <row r="30" ht="14.25" customHeight="1">
      <c r="A30" s="41" t="s">
        <v>473</v>
      </c>
      <c r="B30" s="32" t="s">
        <v>637</v>
      </c>
      <c r="C30" s="32" t="s">
        <v>638</v>
      </c>
    </row>
    <row r="31" ht="14.25" customHeight="1">
      <c r="A31" s="41" t="s">
        <v>642</v>
      </c>
      <c r="B31" s="32" t="s">
        <v>645</v>
      </c>
      <c r="C31" s="32" t="s">
        <v>638</v>
      </c>
    </row>
    <row r="32" ht="14.25" customHeight="1">
      <c r="A32" s="41" t="s">
        <v>648</v>
      </c>
      <c r="B32" s="32" t="s">
        <v>653</v>
      </c>
      <c r="C32" s="32" t="s">
        <v>638</v>
      </c>
    </row>
    <row r="33" ht="14.25" customHeight="1">
      <c r="A33" s="41" t="s">
        <v>656</v>
      </c>
      <c r="B33" s="32" t="s">
        <v>660</v>
      </c>
      <c r="C33" s="32" t="s">
        <v>638</v>
      </c>
    </row>
    <row r="34" ht="14.25" customHeight="1">
      <c r="A34" s="41" t="s">
        <v>664</v>
      </c>
      <c r="B34" s="32" t="s">
        <v>665</v>
      </c>
      <c r="C34" s="32" t="s">
        <v>638</v>
      </c>
    </row>
    <row r="35" ht="14.25" customHeight="1">
      <c r="A35" s="41" t="s">
        <v>672</v>
      </c>
      <c r="B35" s="32" t="s">
        <v>673</v>
      </c>
      <c r="C35" s="32" t="s">
        <v>638</v>
      </c>
    </row>
    <row r="36" ht="14.25" customHeight="1">
      <c r="A36" s="41" t="s">
        <v>681</v>
      </c>
      <c r="B36" s="32" t="s">
        <v>682</v>
      </c>
      <c r="C36" s="32" t="s">
        <v>638</v>
      </c>
    </row>
    <row r="37" ht="14.25" customHeight="1">
      <c r="A37" s="41" t="s">
        <v>690</v>
      </c>
      <c r="B37" s="32" t="s">
        <v>691</v>
      </c>
      <c r="C37" s="32" t="s">
        <v>638</v>
      </c>
    </row>
    <row r="38" ht="14.25" customHeight="1">
      <c r="A38" s="41" t="s">
        <v>692</v>
      </c>
      <c r="B38" s="32" t="s">
        <v>698</v>
      </c>
      <c r="C38" s="32" t="s">
        <v>638</v>
      </c>
    </row>
    <row r="39" ht="14.25" customHeight="1">
      <c r="A39" s="41" t="s">
        <v>705</v>
      </c>
      <c r="B39" s="32" t="s">
        <v>707</v>
      </c>
      <c r="C39" s="32" t="s">
        <v>708</v>
      </c>
    </row>
    <row r="40" ht="14.25" customHeight="1">
      <c r="A40" s="41" t="s">
        <v>709</v>
      </c>
      <c r="B40" s="32" t="s">
        <v>714</v>
      </c>
      <c r="C40" s="32" t="s">
        <v>708</v>
      </c>
    </row>
    <row r="41" ht="14.25" customHeight="1">
      <c r="A41" s="41" t="s">
        <v>716</v>
      </c>
      <c r="B41" s="32" t="s">
        <v>717</v>
      </c>
      <c r="C41" s="32" t="s">
        <v>708</v>
      </c>
    </row>
    <row r="42" ht="14.25" customHeight="1">
      <c r="A42" s="41" t="s">
        <v>724</v>
      </c>
      <c r="B42" s="32" t="s">
        <v>725</v>
      </c>
      <c r="C42" s="32" t="s">
        <v>708</v>
      </c>
    </row>
    <row r="43" ht="14.25" customHeight="1">
      <c r="A43" s="41" t="s">
        <v>726</v>
      </c>
      <c r="B43" s="32" t="s">
        <v>727</v>
      </c>
      <c r="C43" s="32" t="s">
        <v>708</v>
      </c>
    </row>
    <row r="44" ht="14.25" customHeight="1">
      <c r="A44" s="41" t="s">
        <v>728</v>
      </c>
      <c r="B44" s="32" t="s">
        <v>729</v>
      </c>
      <c r="C44" s="32" t="s">
        <v>708</v>
      </c>
    </row>
    <row r="45" ht="14.25" customHeight="1">
      <c r="A45" s="41" t="s">
        <v>730</v>
      </c>
      <c r="B45" s="32" t="s">
        <v>731</v>
      </c>
      <c r="C45" s="32" t="s">
        <v>708</v>
      </c>
    </row>
    <row r="46" ht="14.25" customHeight="1">
      <c r="A46" s="41" t="s">
        <v>734</v>
      </c>
      <c r="B46" s="32" t="s">
        <v>736</v>
      </c>
      <c r="C46" s="32" t="s">
        <v>708</v>
      </c>
    </row>
    <row r="47" ht="14.25" customHeight="1">
      <c r="A47" s="41" t="s">
        <v>737</v>
      </c>
      <c r="B47" s="32" t="s">
        <v>738</v>
      </c>
      <c r="C47" s="32" t="s">
        <v>739</v>
      </c>
    </row>
    <row r="48" ht="14.25" customHeight="1">
      <c r="A48" s="41" t="s">
        <v>740</v>
      </c>
      <c r="B48" s="32" t="s">
        <v>741</v>
      </c>
      <c r="C48" s="32" t="s">
        <v>739</v>
      </c>
    </row>
    <row r="49" ht="14.25" customHeight="1">
      <c r="A49" s="41" t="s">
        <v>742</v>
      </c>
      <c r="B49" s="32" t="s">
        <v>743</v>
      </c>
      <c r="C49" s="32" t="s">
        <v>739</v>
      </c>
    </row>
    <row r="50" ht="14.25" customHeight="1">
      <c r="A50" s="41" t="s">
        <v>744</v>
      </c>
      <c r="B50" s="32" t="s">
        <v>745</v>
      </c>
      <c r="C50" s="32" t="s">
        <v>739</v>
      </c>
    </row>
    <row r="51" ht="14.25" customHeight="1">
      <c r="A51" s="41" t="s">
        <v>747</v>
      </c>
      <c r="B51" s="32" t="s">
        <v>750</v>
      </c>
      <c r="C51" s="32" t="s">
        <v>739</v>
      </c>
    </row>
    <row r="52" ht="14.25" customHeight="1">
      <c r="A52" s="41" t="s">
        <v>755</v>
      </c>
      <c r="B52" s="32" t="s">
        <v>758</v>
      </c>
      <c r="C52" s="32" t="s">
        <v>739</v>
      </c>
    </row>
    <row r="53" ht="14.25" customHeight="1">
      <c r="A53" s="41" t="s">
        <v>761</v>
      </c>
      <c r="B53" s="32" t="s">
        <v>762</v>
      </c>
      <c r="C53" s="32" t="s">
        <v>739</v>
      </c>
    </row>
    <row r="54" ht="14.25" customHeight="1">
      <c r="A54" s="41" t="s">
        <v>763</v>
      </c>
      <c r="B54" s="32" t="s">
        <v>764</v>
      </c>
      <c r="C54" s="32" t="s">
        <v>739</v>
      </c>
    </row>
    <row r="55" ht="14.25" customHeight="1">
      <c r="A55" s="41" t="s">
        <v>765</v>
      </c>
      <c r="B55" s="32" t="s">
        <v>766</v>
      </c>
      <c r="C55" s="32" t="s">
        <v>767</v>
      </c>
    </row>
    <row r="56" ht="14.25" customHeight="1">
      <c r="A56" s="41" t="s">
        <v>768</v>
      </c>
      <c r="B56" s="32" t="s">
        <v>769</v>
      </c>
      <c r="C56" s="32" t="s">
        <v>767</v>
      </c>
    </row>
    <row r="57" ht="14.25" customHeight="1">
      <c r="A57" s="41" t="s">
        <v>770</v>
      </c>
      <c r="B57" s="32" t="s">
        <v>771</v>
      </c>
      <c r="C57" s="32" t="s">
        <v>767</v>
      </c>
    </row>
    <row r="58" ht="14.25" customHeight="1">
      <c r="A58" s="41" t="s">
        <v>772</v>
      </c>
      <c r="B58" s="32" t="s">
        <v>773</v>
      </c>
      <c r="C58" s="32" t="s">
        <v>767</v>
      </c>
    </row>
    <row r="59" ht="14.25" customHeight="1">
      <c r="A59" s="41" t="s">
        <v>774</v>
      </c>
      <c r="B59" s="32" t="s">
        <v>775</v>
      </c>
      <c r="C59" s="32" t="s">
        <v>767</v>
      </c>
    </row>
    <row r="60" ht="14.25" customHeight="1">
      <c r="A60" s="41" t="s">
        <v>776</v>
      </c>
      <c r="B60" s="32" t="s">
        <v>777</v>
      </c>
      <c r="C60" s="32" t="s">
        <v>767</v>
      </c>
    </row>
    <row r="61" ht="14.25" customHeight="1">
      <c r="A61" s="41" t="s">
        <v>778</v>
      </c>
      <c r="B61" s="32" t="s">
        <v>779</v>
      </c>
      <c r="C61" s="32" t="s">
        <v>767</v>
      </c>
    </row>
    <row r="62" ht="14.25" customHeight="1">
      <c r="A62" s="41" t="s">
        <v>780</v>
      </c>
      <c r="B62" s="32" t="s">
        <v>781</v>
      </c>
      <c r="C62" s="32" t="s">
        <v>782</v>
      </c>
    </row>
    <row r="63" ht="14.25" customHeight="1">
      <c r="A63" s="41" t="s">
        <v>783</v>
      </c>
      <c r="B63" s="32" t="s">
        <v>784</v>
      </c>
      <c r="C63" s="32" t="s">
        <v>782</v>
      </c>
    </row>
    <row r="64" ht="14.25" customHeight="1">
      <c r="A64" s="41" t="s">
        <v>785</v>
      </c>
      <c r="B64" s="32" t="s">
        <v>786</v>
      </c>
      <c r="C64" s="32" t="s">
        <v>782</v>
      </c>
    </row>
    <row r="65" ht="14.25" customHeight="1">
      <c r="A65" s="41" t="s">
        <v>787</v>
      </c>
      <c r="B65" s="32" t="s">
        <v>788</v>
      </c>
      <c r="C65" s="32" t="s">
        <v>782</v>
      </c>
    </row>
    <row r="66" ht="14.25" customHeight="1">
      <c r="A66" s="41" t="s">
        <v>789</v>
      </c>
      <c r="B66" s="32" t="s">
        <v>790</v>
      </c>
      <c r="C66" s="32" t="s">
        <v>782</v>
      </c>
    </row>
    <row r="67" ht="14.25" customHeight="1">
      <c r="A67" s="41" t="s">
        <v>679</v>
      </c>
      <c r="B67" s="32" t="s">
        <v>791</v>
      </c>
      <c r="C67" s="32" t="s">
        <v>782</v>
      </c>
    </row>
    <row r="68" ht="14.25" customHeight="1">
      <c r="A68" s="41" t="s">
        <v>792</v>
      </c>
      <c r="B68" s="32" t="s">
        <v>793</v>
      </c>
      <c r="C68" s="32" t="s">
        <v>794</v>
      </c>
    </row>
    <row r="69" ht="14.25" customHeight="1">
      <c r="A69" s="41" t="s">
        <v>795</v>
      </c>
      <c r="B69" s="32" t="s">
        <v>796</v>
      </c>
      <c r="C69" s="32" t="s">
        <v>794</v>
      </c>
    </row>
    <row r="70" ht="14.25" customHeight="1">
      <c r="A70" s="41" t="s">
        <v>797</v>
      </c>
      <c r="B70" s="32" t="s">
        <v>798</v>
      </c>
      <c r="C70" s="32" t="s">
        <v>794</v>
      </c>
    </row>
    <row r="71" ht="14.25" customHeight="1">
      <c r="A71" s="41" t="s">
        <v>799</v>
      </c>
      <c r="B71" s="32" t="s">
        <v>800</v>
      </c>
      <c r="C71" s="32" t="s">
        <v>794</v>
      </c>
    </row>
    <row r="72" ht="14.25" customHeight="1">
      <c r="A72" s="41" t="s">
        <v>801</v>
      </c>
      <c r="B72" s="32" t="s">
        <v>802</v>
      </c>
      <c r="C72" s="32" t="s">
        <v>803</v>
      </c>
    </row>
    <row r="73" ht="14.25" customHeight="1">
      <c r="A73" s="41" t="s">
        <v>804</v>
      </c>
      <c r="B73" s="32" t="s">
        <v>805</v>
      </c>
      <c r="C73" s="32" t="s">
        <v>803</v>
      </c>
    </row>
    <row r="74" ht="14.25" customHeight="1">
      <c r="A74" s="41" t="s">
        <v>806</v>
      </c>
      <c r="B74" s="32" t="s">
        <v>807</v>
      </c>
      <c r="C74" s="32" t="s">
        <v>803</v>
      </c>
    </row>
    <row r="75" ht="14.25" customHeight="1">
      <c r="A75" s="41" t="s">
        <v>808</v>
      </c>
      <c r="B75" s="32" t="s">
        <v>809</v>
      </c>
      <c r="C75" s="32" t="s">
        <v>803</v>
      </c>
    </row>
    <row r="76" ht="14.25" customHeight="1">
      <c r="A76" s="41" t="s">
        <v>810</v>
      </c>
      <c r="B76" s="32" t="s">
        <v>811</v>
      </c>
      <c r="C76" s="32" t="s">
        <v>803</v>
      </c>
    </row>
    <row r="77" ht="14.25" customHeight="1">
      <c r="A77" s="41" t="s">
        <v>812</v>
      </c>
      <c r="B77" s="32" t="s">
        <v>813</v>
      </c>
      <c r="C77" s="32" t="s">
        <v>803</v>
      </c>
    </row>
    <row r="78" ht="14.25" customHeight="1">
      <c r="A78" s="41" t="s">
        <v>814</v>
      </c>
      <c r="B78" s="32" t="s">
        <v>815</v>
      </c>
      <c r="C78" s="32" t="s">
        <v>803</v>
      </c>
    </row>
    <row r="79" ht="14.25" customHeight="1">
      <c r="A79" s="41" t="s">
        <v>816</v>
      </c>
      <c r="B79" s="32" t="s">
        <v>817</v>
      </c>
      <c r="C79" s="32" t="s">
        <v>803</v>
      </c>
    </row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customSheetViews>
    <customSheetView guid="{59300DEC-CD0E-4BFC-BFE1-55208182CE93}" filter="1" showAutoFilter="1">
      <autoFilter ref="$A$1:$C$79"/>
    </customSheetView>
  </customSheetViews>
  <printOptions/>
  <pageMargins bottom="1.0" footer="0.0" header="0.0" left="0.75" right="0.75" top="1.0"/>
  <pageSetup orientation="landscape"/>
  <drawing r:id="rId1"/>
  <tableParts count="1">
    <tablePart r:id="rId3"/>
  </tableParts>
</worksheet>
</file>