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Overview" sheetId="1" r:id="rId1"/>
    <sheet name="Delivery Plan" sheetId="2" r:id="rId2"/>
    <sheet name="Features" sheetId="3" r:id="rId3"/>
    <sheet name="Roles" sheetId="4" r:id="rId4"/>
    <sheet name="Authorization" sheetId="5" r:id="rId5"/>
    <sheet name="Screen Visibility" sheetId="6" r:id="rId6"/>
    <sheet name="Business Rules" sheetId="7" r:id="rId7"/>
  </sheets>
  <definedNames>
    <definedName name="_xlnm._FilterDatabase" localSheetId="2" hidden="1">Features!$A$1:$O$79</definedName>
    <definedName name="_xlnm.Print_Titles" localSheetId="2">Features!$1:$1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Sport Mate</author>
  </authors>
  <commentList>
    <comment ref="N1" authorId="0">
      <text>
        <r>
          <rPr>
            <sz val="10"/>
            <rFont val="SimSun"/>
            <charset val="134"/>
          </rPr>
          <t>Done / Processing / Not Start. Update as work progresses.</t>
        </r>
      </text>
    </comment>
    <comment ref="O1" authorId="0">
      <text>
        <r>
          <rPr>
            <sz val="10"/>
            <rFont val="SimSun"/>
            <charset val="134"/>
          </rPr>
          <t>Team member who owns this feature (list from the Delivery Plan sheet).</t>
        </r>
      </text>
    </comment>
  </commentList>
</comments>
</file>

<file path=xl/sharedStrings.xml><?xml version="1.0" encoding="utf-8"?>
<sst xmlns="http://schemas.openxmlformats.org/spreadsheetml/2006/main" count="1504" uniqueCount="818">
  <si>
    <t>Sport Mate — Feature &amp; Role Specification</t>
  </si>
  <si>
    <t>Project</t>
  </si>
  <si>
    <t>Sport Mate — sportswear e-commerce mobile application (PRM392)</t>
  </si>
  <si>
    <t>Version</t>
  </si>
  <si>
    <t>1.1</t>
  </si>
  <si>
    <t>Date</t>
  </si>
  <si>
    <t>2026-10-14</t>
  </si>
  <si>
    <t>Scope</t>
  </si>
  <si>
    <t>78 features (F01–F78), mapped one-to-one to use cases UC-001–UC-078</t>
  </si>
  <si>
    <t>Schedule</t>
  </si>
  <si>
    <t>Start 07/09/2026 · Interaction 1 due 13/10/2026 · Interaction 2 due 21/10/2026 · Interaction 3 due 27/10/2026</t>
  </si>
  <si>
    <t>Team</t>
  </si>
  <si>
    <t>Nguyễn Hoàng Minh · Lê Huỳnh Nhựt Khanh · Huỳnh Trần Phước Sang · Trần Thị Hồng Mai · Trương Đoàn Minh Phúc</t>
  </si>
  <si>
    <t>Tech stack</t>
  </si>
  <si>
    <t>Flutter (mobile) · ASP.NET Core Web API (REST/JSON, JWT) · SQL Server (EF Core)</t>
  </si>
  <si>
    <t>Source documents</t>
  </si>
  <si>
    <t>USE_CASES.md · BUSINESS_RULES.md · API_DESIGN.md · MOBILE_ARCHITECTURE.md · BACKEND_ARCHITECTURE.md</t>
  </si>
  <si>
    <t>How to use this workbook</t>
  </si>
  <si>
    <t>• Features sheet: one row per feature (F01–F78) with Interaction (L), Deadline (M), Status (N) and Assignee (O).</t>
  </si>
  <si>
    <t>• Update Status as work progresses; the progress tables here and on the Delivery Plan sheet recalculate automatically.</t>
  </si>
  <si>
    <t>• API paths are relative to /api/v1. "(proposed)" marks endpoints not defined in API_DESIGN.md.</t>
  </si>
  <si>
    <t>• /admin/* endpoints are shared by Staff and Admin; the app shows or hides features by role and the API checks every request.</t>
  </si>
  <si>
    <t>• Priority (Must / Should / Could) is a proposal; it is not defined in the source documents.</t>
  </si>
  <si>
    <t>Cell to fill in</t>
  </si>
  <si>
    <t>Progress by module</t>
  </si>
  <si>
    <t>Module</t>
  </si>
  <si>
    <t>Feature IDs</t>
  </si>
  <si>
    <t>Features</t>
  </si>
  <si>
    <t>Done</t>
  </si>
  <si>
    <t>% done</t>
  </si>
  <si>
    <t>Roles involved</t>
  </si>
  <si>
    <t>Authentication</t>
  </si>
  <si>
    <t>F01–F05</t>
  </si>
  <si>
    <t>Guest, Customer, Staff, Admin</t>
  </si>
  <si>
    <t>User &amp; Profile</t>
  </si>
  <si>
    <t>F06–F17</t>
  </si>
  <si>
    <t>Customer, Staff, Admin</t>
  </si>
  <si>
    <t>Product &amp; Catalog</t>
  </si>
  <si>
    <t>F18–F42</t>
  </si>
  <si>
    <t>Inventory</t>
  </si>
  <si>
    <t>F43–F45</t>
  </si>
  <si>
    <t>Staff, Admin</t>
  </si>
  <si>
    <t>Shopping Cart</t>
  </si>
  <si>
    <t>F46–F50</t>
  </si>
  <si>
    <t>Customer</t>
  </si>
  <si>
    <t>Checkout &amp; Orders</t>
  </si>
  <si>
    <t>F51–F57</t>
  </si>
  <si>
    <t>Payments</t>
  </si>
  <si>
    <t>F58–F60</t>
  </si>
  <si>
    <t>Coupons</t>
  </si>
  <si>
    <t>F61–F67</t>
  </si>
  <si>
    <t>Customer, Admin</t>
  </si>
  <si>
    <t>Reviews</t>
  </si>
  <si>
    <t>F68–F72</t>
  </si>
  <si>
    <t>Wishlist</t>
  </si>
  <si>
    <t>F73–F75</t>
  </si>
  <si>
    <t>Reports</t>
  </si>
  <si>
    <t>F76–F78</t>
  </si>
  <si>
    <t>Admin</t>
  </si>
  <si>
    <t>Total</t>
  </si>
  <si>
    <t>F01–F78</t>
  </si>
  <si>
    <t>Delivery Plan</t>
  </si>
  <si>
    <t>Project start</t>
  </si>
  <si>
    <t>Interaction schedule</t>
  </si>
  <si>
    <t>Interaction</t>
  </si>
  <si>
    <t>Start</t>
  </si>
  <si>
    <t>Deadline</t>
  </si>
  <si>
    <t>Status</t>
  </si>
  <si>
    <t>Processing</t>
  </si>
  <si>
    <t>Not Start</t>
  </si>
  <si>
    <t>Interaction 1</t>
  </si>
  <si>
    <t>F01–F09, F18–F30, F38–F42, F46–F52, F73–F75</t>
  </si>
  <si>
    <t>Interaction 2</t>
  </si>
  <si>
    <t>F10–F12, F31–F33, F43–F45, F53–F67</t>
  </si>
  <si>
    <t>Interaction 3</t>
  </si>
  <si>
    <t>F13–F17, F34–F37, F68–F72, F76–F78</t>
  </si>
  <si>
    <t>Team assignment</t>
  </si>
  <si>
    <t>Member</t>
  </si>
  <si>
    <t>GitHub</t>
  </si>
  <si>
    <t>Nguyễn Hoàng Minh</t>
  </si>
  <si>
    <t>Minh2005</t>
  </si>
  <si>
    <t>F01–F17</t>
  </si>
  <si>
    <t>Lê Huỳnh Nhựt Khanh</t>
  </si>
  <si>
    <t>lehuynhnhutkhanh2004</t>
  </si>
  <si>
    <t>F26–F37, F65–F67</t>
  </si>
  <si>
    <t>Huỳnh Trần Phước Sang</t>
  </si>
  <si>
    <t>sengggggg</t>
  </si>
  <si>
    <t>F18–F25, F46–F50, F56–F60, F76–F78</t>
  </si>
  <si>
    <t>Trần Thị Hồng Mai</t>
  </si>
  <si>
    <t>HM126-m</t>
  </si>
  <si>
    <t>F61–F64, F68–F75</t>
  </si>
  <si>
    <t>Trương Đoàn Minh Phúc</t>
  </si>
  <si>
    <t>nilernous</t>
  </si>
  <si>
    <t>F38–F45, F51–F55</t>
  </si>
  <si>
    <t>No.</t>
  </si>
  <si>
    <t>Feature ID</t>
  </si>
  <si>
    <t>Use Case ID</t>
  </si>
  <si>
    <t>Feature Name</t>
  </si>
  <si>
    <t>Description</t>
  </si>
  <si>
    <t>Roles</t>
  </si>
  <si>
    <t>API Endpoint</t>
  </si>
  <si>
    <t>Mobile Screen</t>
  </si>
  <si>
    <t>Business Rules</t>
  </si>
  <si>
    <t>Priority</t>
  </si>
  <si>
    <t>Assignee</t>
  </si>
  <si>
    <t>F01</t>
  </si>
  <si>
    <t>UC-001</t>
  </si>
  <si>
    <t>Register account</t>
  </si>
  <si>
    <t>Guest enters name, email and password; API validates input and password policy, checks email uniqueness, hashes the password and creates a Customer account.</t>
  </si>
  <si>
    <t>Guest</t>
  </si>
  <si>
    <t>POST /auth/register</t>
  </si>
  <si>
    <t>Register</t>
  </si>
  <si>
    <t>BR-008, BR-009, BR-071, BR-072</t>
  </si>
  <si>
    <t>Must</t>
  </si>
  <si>
    <t>F02</t>
  </si>
  <si>
    <t>UC-002</t>
  </si>
  <si>
    <t>Sign in</t>
  </si>
  <si>
    <t>Guest submits credentials; API verifies them and account status, then issues a JWT and returns safe user info and role (used by the app to show/hide features).</t>
  </si>
  <si>
    <t>POST /auth/login</t>
  </si>
  <si>
    <t>Login</t>
  </si>
  <si>
    <t>BR-006, BR-007, BR-078</t>
  </si>
  <si>
    <t>F03</t>
  </si>
  <si>
    <t>UC-003</t>
  </si>
  <si>
    <t>Sign out</t>
  </si>
  <si>
    <t>User signs out; app clears local auth state and API revokes the refresh token/session if supported.</t>
  </si>
  <si>
    <t>POST /auth/logout</t>
  </si>
  <si>
    <t>Profile</t>
  </si>
  <si>
    <t>BR-077, BR-078</t>
  </si>
  <si>
    <t>F04</t>
  </si>
  <si>
    <t>UC-004</t>
  </si>
  <si>
    <t>Request password reset</t>
  </si>
  <si>
    <t>Guest submits an email; API returns a generic response and starts a time-limited reset process for an eligible account without disclosing whether the email exists.</t>
  </si>
  <si>
    <t>POST /auth/forgot-password</t>
  </si>
  <si>
    <t>Forgot Password</t>
  </si>
  <si>
    <t>BR-010, BR-072</t>
  </si>
  <si>
    <t>Should</t>
  </si>
  <si>
    <t>F05</t>
  </si>
  <si>
    <t>UC-005</t>
  </si>
  <si>
    <t>Reset password using token</t>
  </si>
  <si>
    <t>Guest submits a valid reset token and new password; API validates both, updates the password hash and invalidates the token.</t>
  </si>
  <si>
    <t>POST /auth/reset-password</t>
  </si>
  <si>
    <t>Reset Password</t>
  </si>
  <si>
    <t>BR-009, BR-010</t>
  </si>
  <si>
    <t>F06</t>
  </si>
  <si>
    <t>UC-006</t>
  </si>
  <si>
    <t>Change password</t>
  </si>
  <si>
    <t>User submits current and new password; API verifies the current one, validates the new one, updates the hash and applies the session-revocation policy.</t>
  </si>
  <si>
    <t>PUT /users/me/password</t>
  </si>
  <si>
    <t>Profile › Change Password</t>
  </si>
  <si>
    <t>BR-009, BR-011, BR-078</t>
  </si>
  <si>
    <t>F07</t>
  </si>
  <si>
    <t>UC-007</t>
  </si>
  <si>
    <t>View own profile</t>
  </si>
  <si>
    <t>App requests the current profile; API resolves identity from JWT claims and returns the allowed fields.</t>
  </si>
  <si>
    <t>GET /users/me</t>
  </si>
  <si>
    <t>BR-006, BR-011, BR-078</t>
  </si>
  <si>
    <t>F08</t>
  </si>
  <si>
    <t>UC-008</t>
  </si>
  <si>
    <t>Update own profile</t>
  </si>
  <si>
    <t>User edits allowed profile fields; API updates only the current user's record. Role/status cannot be changed here.</t>
  </si>
  <si>
    <t>PUT /users/me</t>
  </si>
  <si>
    <t>Profile › Edit Profile</t>
  </si>
  <si>
    <t>BR-006, BR-011, BR-071</t>
  </si>
  <si>
    <t>F09</t>
  </si>
  <si>
    <t>UC-009</t>
  </si>
  <si>
    <t>Create delivery address</t>
  </si>
  <si>
    <t>Customer submits address fields; API validates and creates an address owned by the current Customer.</t>
  </si>
  <si>
    <t>POST /users/me/addresses</t>
  </si>
  <si>
    <t>Address Management</t>
  </si>
  <si>
    <t>BR-012, BR-071</t>
  </si>
  <si>
    <t>F10</t>
  </si>
  <si>
    <t>UC-010</t>
  </si>
  <si>
    <t>List own delivery addresses</t>
  </si>
  <si>
    <t>Customer views the address book; API returns only addresses owned by the current Customer.</t>
  </si>
  <si>
    <t>GET /users/me/addresses</t>
  </si>
  <si>
    <t>BR-006, BR-012</t>
  </si>
  <si>
    <t>F11</t>
  </si>
  <si>
    <t>UC-011</t>
  </si>
  <si>
    <t>Update own delivery address</t>
  </si>
  <si>
    <t>Customer edits an address; API verifies ownership and updates it. Historical order address snapshots are not changed.</t>
  </si>
  <si>
    <t>PUT /users/me/addresses/{id}</t>
  </si>
  <si>
    <t>BR-012, BR-013</t>
  </si>
  <si>
    <t>F12</t>
  </si>
  <si>
    <t>UC-012</t>
  </si>
  <si>
    <t>Delete own delivery address</t>
  </si>
  <si>
    <t>Customer deletes an address; API verifies ownership and deletes or deactivates it safely without affecting order snapshots.</t>
  </si>
  <si>
    <t>DELETE /users/me/addresses/{id}</t>
  </si>
  <si>
    <t>F13</t>
  </si>
  <si>
    <t>UC-013</t>
  </si>
  <si>
    <t>Create user account</t>
  </si>
  <si>
    <t>Admin creates a user with an allowed initial role; API validates email uniqueness and role assignment.</t>
  </si>
  <si>
    <t>POST /admin/users (proposed)</t>
  </si>
  <si>
    <t>Admin Panel › User Management</t>
  </si>
  <si>
    <t>BR-004, BR-005, BR-008, BR-009</t>
  </si>
  <si>
    <t>F14</t>
  </si>
  <si>
    <t>UC-014</t>
  </si>
  <si>
    <t>List and view users</t>
  </si>
  <si>
    <t>Admin lists/searches users and opens a user record; API returns only permitted fields.</t>
  </si>
  <si>
    <t>GET /admin/users
GET /admin/users/{id}</t>
  </si>
  <si>
    <t>BR-005, BR-006</t>
  </si>
  <si>
    <t>F15</t>
  </si>
  <si>
    <t>UC-015</t>
  </si>
  <si>
    <t>Update user information</t>
  </si>
  <si>
    <t>Admin updates permitted user information; API validates (e.g. duplicate email) and saves.</t>
  </si>
  <si>
    <t>PUT /admin/users/{id} (proposed)</t>
  </si>
  <si>
    <t>BR-005, BR-008, BR-071</t>
  </si>
  <si>
    <t>F16</t>
  </si>
  <si>
    <t>UC-016</t>
  </si>
  <si>
    <t>Disable user account</t>
  </si>
  <si>
    <t>Admin disables an account; API updates status and revokes sessions. The last active Admin cannot be disabled; history is preserved.</t>
  </si>
  <si>
    <t>PATCH /admin/users/{id}/status</t>
  </si>
  <si>
    <t>BR-005, BR-007</t>
  </si>
  <si>
    <t>F17</t>
  </si>
  <si>
    <t>UC-017</t>
  </si>
  <si>
    <t>Assign or change user role</t>
  </si>
  <si>
    <t>Admin assigns an allowed role (Customer/Staff/Admin); API enforces the last-admin safeguard and later authorization reflects the new role.</t>
  </si>
  <si>
    <t>PATCH /admin/users/{id}/role (proposed)</t>
  </si>
  <si>
    <t>BR-004, BR-005, BR-006</t>
  </si>
  <si>
    <t>F18</t>
  </si>
  <si>
    <t>UC-018</t>
  </si>
  <si>
    <t>Create category</t>
  </si>
  <si>
    <t>Actor submits category fields; API validates and rejects duplicate key/name.</t>
  </si>
  <si>
    <t>POST /admin/categories</t>
  </si>
  <si>
    <t>Admin Panel › Product &amp; Category Mgmt</t>
  </si>
  <si>
    <t>BR-015, BR-071, BR-078</t>
  </si>
  <si>
    <t>F19</t>
  </si>
  <si>
    <t>UC-019</t>
  </si>
  <si>
    <t>List and view categories</t>
  </si>
  <si>
    <t>Actor views the category list or a category detail.</t>
  </si>
  <si>
    <t>GET /categories
GET /categories/{id}</t>
  </si>
  <si>
    <t>BR-015, BR-072</t>
  </si>
  <si>
    <t>F20</t>
  </si>
  <si>
    <t>UC-020</t>
  </si>
  <si>
    <t>Update category</t>
  </si>
  <si>
    <t>Actor edits a category; API validates and rejects conflicting unique values.</t>
  </si>
  <si>
    <t>PUT /admin/categories/{id}</t>
  </si>
  <si>
    <t>BR-015, BR-071</t>
  </si>
  <si>
    <t>F21</t>
  </si>
  <si>
    <t>UC-021</t>
  </si>
  <si>
    <t>Delete or deactivate category</t>
  </si>
  <si>
    <t>API deletes the category only if no products reference it; otherwise deactivates or rejects.</t>
  </si>
  <si>
    <t>DELETE /admin/categories/{id}</t>
  </si>
  <si>
    <t>BR-015, BR-020, BR-073</t>
  </si>
  <si>
    <t>F22</t>
  </si>
  <si>
    <t>UC-022</t>
  </si>
  <si>
    <t>Create brand</t>
  </si>
  <si>
    <t>Actor submits brand details; API validates and rejects duplicate key/name.</t>
  </si>
  <si>
    <t>POST /admin/brands (proposed)</t>
  </si>
  <si>
    <t>F23</t>
  </si>
  <si>
    <t>UC-023</t>
  </si>
  <si>
    <t>List and view brands</t>
  </si>
  <si>
    <t>Actor views the brand list or a brand detail.</t>
  </si>
  <si>
    <t>GET /admin/brands (proposed)
GET /admin/brands/{id} (proposed)</t>
  </si>
  <si>
    <t>BR-015</t>
  </si>
  <si>
    <t>F24</t>
  </si>
  <si>
    <t>UC-024</t>
  </si>
  <si>
    <t>Update brand</t>
  </si>
  <si>
    <t>Actor edits a brand; API validates and rejects conflicting values.</t>
  </si>
  <si>
    <t>PUT /admin/brands/{id} (proposed)</t>
  </si>
  <si>
    <t>F25</t>
  </si>
  <si>
    <t>UC-025</t>
  </si>
  <si>
    <t>Delete or deactivate brand</t>
  </si>
  <si>
    <t>API deletes the brand only if no products reference it; otherwise deactivates or rejects.</t>
  </si>
  <si>
    <t>DELETE /admin/brands/{id} (proposed)</t>
  </si>
  <si>
    <t>F26</t>
  </si>
  <si>
    <t>UC-026</t>
  </si>
  <si>
    <t>Create product</t>
  </si>
  <si>
    <t>Actor submits product details; API validates fields, price and category/brand references, then creates the product in its initial status.</t>
  </si>
  <si>
    <t>POST /admin/products</t>
  </si>
  <si>
    <t>BR-014, BR-015, BR-018, BR-071</t>
  </si>
  <si>
    <t>F27</t>
  </si>
  <si>
    <t>UC-027</t>
  </si>
  <si>
    <t>List and view products in admin</t>
  </si>
  <si>
    <t>Actor lists/searches all products including inactive ones and opens a product detail.</t>
  </si>
  <si>
    <t>GET /admin/products (proposed)
GET /admin/products/{id} (proposed)</t>
  </si>
  <si>
    <t>BR-014, BR-021</t>
  </si>
  <si>
    <t>F28</t>
  </si>
  <si>
    <t>UC-028</t>
  </si>
  <si>
    <t>Update product</t>
  </si>
  <si>
    <t>Actor edits permitted fields; API validates price, status and references. Order snapshots stay unchanged.</t>
  </si>
  <si>
    <t>PUT /admin/products/{id}
PATCH /admin/products/{id}/status</t>
  </si>
  <si>
    <t>BR-015, BR-018, BR-039, BR-045, BR-071</t>
  </si>
  <si>
    <t>F29</t>
  </si>
  <si>
    <t>UC-029</t>
  </si>
  <si>
    <t>Delete or deactivate product</t>
  </si>
  <si>
    <t>API deletes the product only if it has no order references; otherwise archives/deactivates so it can no longer be purchased.</t>
  </si>
  <si>
    <t>DELETE /admin/products/{id}</t>
  </si>
  <si>
    <t>BR-014, BR-020, BR-044</t>
  </si>
  <si>
    <t>F30</t>
  </si>
  <si>
    <t>UC-030</t>
  </si>
  <si>
    <t>Create product variant</t>
  </si>
  <si>
    <t>Actor adds a size/color/SKU/price variant; API validates the parent product, unique SKU and price.</t>
  </si>
  <si>
    <t>POST /admin/products/{id}/variants (proposed)</t>
  </si>
  <si>
    <t>BR-016, BR-017, BR-018, BR-022</t>
  </si>
  <si>
    <t>F31</t>
  </si>
  <si>
    <t>UC-031</t>
  </si>
  <si>
    <t>List and view product variants</t>
  </si>
  <si>
    <t>Actor lists variants of a product or opens one variant.</t>
  </si>
  <si>
    <t>GET /admin/products/{id}/variants (proposed)</t>
  </si>
  <si>
    <t>BR-016, BR-022</t>
  </si>
  <si>
    <t>F32</t>
  </si>
  <si>
    <t>UC-032</t>
  </si>
  <si>
    <t>Update product variant</t>
  </si>
  <si>
    <t>Actor edits size, color, SKU or price; API validates SKU uniqueness and values. Stock is changed only via inventory adjustment.</t>
  </si>
  <si>
    <t>PUT /admin/variants/{id} (proposed)</t>
  </si>
  <si>
    <t>BR-016, BR-017, BR-018, BR-039, BR-045</t>
  </si>
  <si>
    <t>F33</t>
  </si>
  <si>
    <t>UC-033</t>
  </si>
  <si>
    <t>Delete or deactivate product variant</t>
  </si>
  <si>
    <t>API deletes the variant only if safe (stock/order references); otherwise deactivates so it cannot be purchased.</t>
  </si>
  <si>
    <t>DELETE /admin/variants/{id} (proposed)</t>
  </si>
  <si>
    <t>BR-014, BR-020, BR-022</t>
  </si>
  <si>
    <t>F34</t>
  </si>
  <si>
    <t>UC-034</t>
  </si>
  <si>
    <t>Add product image</t>
  </si>
  <si>
    <t>Actor uploads an image or supplies an approved reference; API validates file type/size and links it to the product.</t>
  </si>
  <si>
    <t>POST /admin/products/{id}/images (proposed)</t>
  </si>
  <si>
    <t>BR-019, BR-071</t>
  </si>
  <si>
    <t>F35</t>
  </si>
  <si>
    <t>UC-035</t>
  </si>
  <si>
    <t>List product images</t>
  </si>
  <si>
    <t>Actor views the images linked to a product with display metadata.</t>
  </si>
  <si>
    <t>GET /admin/products/{id}/images (proposed)</t>
  </si>
  <si>
    <t>BR-019</t>
  </si>
  <si>
    <t>F36</t>
  </si>
  <si>
    <t>UC-036</t>
  </si>
  <si>
    <t>Update image metadata or display order</t>
  </si>
  <si>
    <t>Actor changes image metadata or display order; API validates and saves.</t>
  </si>
  <si>
    <t>PUT /admin/images/{id} (proposed)</t>
  </si>
  <si>
    <t>F37</t>
  </si>
  <si>
    <t>UC-037</t>
  </si>
  <si>
    <t>Delete product image</t>
  </si>
  <si>
    <t>Actor removes an image; API removes the association and cleans up storage according to policy.</t>
  </si>
  <si>
    <t>DELETE /admin/images/{id} (proposed)</t>
  </si>
  <si>
    <t>F38</t>
  </si>
  <si>
    <t>UC-038</t>
  </si>
  <si>
    <t>Browse product list</t>
  </si>
  <si>
    <t>Actor opens the catalog; API returns active public products with pagination.</t>
  </si>
  <si>
    <t>Guest, Customer</t>
  </si>
  <si>
    <t>GET /products</t>
  </si>
  <si>
    <t>Home, Product List</t>
  </si>
  <si>
    <t>F39</t>
  </si>
  <si>
    <t>UC-039</t>
  </si>
  <si>
    <t>View product details</t>
  </si>
  <si>
    <t>Actor opens a product; API returns description, images, variants, price and availability.</t>
  </si>
  <si>
    <t>GET /products/{id}</t>
  </si>
  <si>
    <t>Product Detail</t>
  </si>
  <si>
    <t>BR-014, BR-016, BR-022</t>
  </si>
  <si>
    <t>F40</t>
  </si>
  <si>
    <t>UC-040</t>
  </si>
  <si>
    <t>Search products</t>
  </si>
  <si>
    <t>Actor searches by keyword; API returns matching active products.</t>
  </si>
  <si>
    <t>GET /products?keyword=</t>
  </si>
  <si>
    <t>Categories &amp; Search</t>
  </si>
  <si>
    <t>BR-021, BR-071</t>
  </si>
  <si>
    <t>F41</t>
  </si>
  <si>
    <t>UC-041</t>
  </si>
  <si>
    <t>Filter products</t>
  </si>
  <si>
    <t>Actor filters by category, brand, price range, size and/or color; API validates and combines filters.</t>
  </si>
  <si>
    <t>GET /products?categoryId=&amp;brandId=&amp;minPrice=&amp;maxPrice=&amp;size=&amp;color=</t>
  </si>
  <si>
    <t>Categories &amp; Search, Product List</t>
  </si>
  <si>
    <t>F42</t>
  </si>
  <si>
    <t>UC-042</t>
  </si>
  <si>
    <t>Sort products</t>
  </si>
  <si>
    <t>Actor picks an allowed sort field and direction; API applies stable sorting with pagination.</t>
  </si>
  <si>
    <t>GET /products?sortBy=&amp;sortOrder=</t>
  </si>
  <si>
    <t>Product List</t>
  </si>
  <si>
    <t>BR-021</t>
  </si>
  <si>
    <t>F43</t>
  </si>
  <si>
    <t>UC-043</t>
  </si>
  <si>
    <t>View inventory by variant</t>
  </si>
  <si>
    <t>Actor views current available quantity for a product or variant.</t>
  </si>
  <si>
    <t>GET /admin/inventory</t>
  </si>
  <si>
    <t>Admin Panel › Inventory Mgmt</t>
  </si>
  <si>
    <t>BR-022, BR-026, BR-078</t>
  </si>
  <si>
    <t>F44</t>
  </si>
  <si>
    <t>UC-044</t>
  </si>
  <si>
    <t>Adjust inventory quantity</t>
  </si>
  <si>
    <t>Actor submits an adjustment quantity and reason; API prevents negative stock and concurrency conflicts and records the movement.</t>
  </si>
  <si>
    <t>PATCH /admin/variants/{id}/stock</t>
  </si>
  <si>
    <t>BR-023, BR-025, BR-026, BR-027, BR-075, BR-076</t>
  </si>
  <si>
    <t>F45</t>
  </si>
  <si>
    <t>UC-045</t>
  </si>
  <si>
    <t>View inventory movement history</t>
  </si>
  <si>
    <t>Actor filters stock movements by variant/date and views the audit history.</t>
  </si>
  <si>
    <t>GET /admin/inventory/movements (proposed)</t>
  </si>
  <si>
    <t>BR-027, BR-076</t>
  </si>
  <si>
    <t>F46</t>
  </si>
  <si>
    <t>UC-046</t>
  </si>
  <si>
    <t>View own cart</t>
  </si>
  <si>
    <t>Customer views their cart; API returns only their items with indicative prices.</t>
  </si>
  <si>
    <t>GET /cart</t>
  </si>
  <si>
    <t>Cart</t>
  </si>
  <si>
    <t>BR-029, BR-031</t>
  </si>
  <si>
    <t>F47</t>
  </si>
  <si>
    <t>UC-047</t>
  </si>
  <si>
    <t>Add item to cart</t>
  </si>
  <si>
    <t>Customer adds a variant with a positive quantity; API checks the variant is purchasable and in stock.</t>
  </si>
  <si>
    <t>POST /cart/items</t>
  </si>
  <si>
    <t>BR-022, BR-024, BR-029, BR-030</t>
  </si>
  <si>
    <t>F48</t>
  </si>
  <si>
    <t>UC-048</t>
  </si>
  <si>
    <t>Update cart item quantity</t>
  </si>
  <si>
    <t>Customer changes the quantity; API verifies ownership and availability.</t>
  </si>
  <si>
    <t>PATCH /cart/items/{itemId}</t>
  </si>
  <si>
    <t>BR-024, BR-029, BR-030</t>
  </si>
  <si>
    <t>F49</t>
  </si>
  <si>
    <t>UC-049</t>
  </si>
  <si>
    <t>Remove item from cart</t>
  </si>
  <si>
    <t>Customer removes an item; API verifies ownership and removes it.</t>
  </si>
  <si>
    <t>DELETE /cart/items/{itemId}</t>
  </si>
  <si>
    <t>BR-029</t>
  </si>
  <si>
    <t>F50</t>
  </si>
  <si>
    <t>UC-050</t>
  </si>
  <si>
    <t>Clear cart</t>
  </si>
  <si>
    <t>Customer removes all items from their cart (no-op if already empty).</t>
  </si>
  <si>
    <t>DELETE /cart</t>
  </si>
  <si>
    <t>F51</t>
  </si>
  <si>
    <t>UC-051</t>
  </si>
  <si>
    <t>Preview checkout and calculate totals</t>
  </si>
  <si>
    <t>Customer selects address, shipping method and optional coupon; API checks prices, stock and coupon, then returns subtotal, discount, shipping and estimated total. No order is created.</t>
  </si>
  <si>
    <t>POST /checkout/preview</t>
  </si>
  <si>
    <t>Checkout</t>
  </si>
  <si>
    <t>BR-031–BR-035, BR-056, BR-058</t>
  </si>
  <si>
    <t>F52</t>
  </si>
  <si>
    <t>UC-052</t>
  </si>
  <si>
    <t>Place order</t>
  </si>
  <si>
    <t>API reloads prices/stock, validates address, coupon and payment method, calculates totals and, in one transaction, creates the order with snapshots, updates stock and records coupon usage.</t>
  </si>
  <si>
    <t>POST /orders</t>
  </si>
  <si>
    <t>Checkout › Order Confirmation</t>
  </si>
  <si>
    <t>BR-024, BR-025, BR-033–BR-039, BR-045, BR-058, BR-059, BR-074, BR-075</t>
  </si>
  <si>
    <t>F53</t>
  </si>
  <si>
    <t>UC-053</t>
  </si>
  <si>
    <t>View own order history</t>
  </si>
  <si>
    <t>Customer views a paginated list of their own orders.</t>
  </si>
  <si>
    <t>GET /orders</t>
  </si>
  <si>
    <t>Order History</t>
  </si>
  <si>
    <t>BR-038, BR-044</t>
  </si>
  <si>
    <t>F54</t>
  </si>
  <si>
    <t>UC-054</t>
  </si>
  <si>
    <t>View own order details</t>
  </si>
  <si>
    <t>Customer opens an order; API checks ownership and returns item snapshots, totals, delivery snapshot, order and payment status.</t>
  </si>
  <si>
    <t>GET /orders/{id}</t>
  </si>
  <si>
    <t>Order Detail</t>
  </si>
  <si>
    <t>BR-013, BR-038, BR-039, BR-046</t>
  </si>
  <si>
    <t>F55</t>
  </si>
  <si>
    <t>UC-055</t>
  </si>
  <si>
    <t>Cancel eligible own order</t>
  </si>
  <si>
    <t>Customer cancels an order in a cancellable state; API records it and restores inventory exactly once.</t>
  </si>
  <si>
    <t>POST /orders/{id}/cancel</t>
  </si>
  <si>
    <t>BR-028, BR-038, BR-040–BR-045, BR-053, BR-074, BR-075</t>
  </si>
  <si>
    <t>F56</t>
  </si>
  <si>
    <t>UC-056</t>
  </si>
  <si>
    <t>Search and list all orders</t>
  </si>
  <si>
    <t>Actor searches/filters all orders by ID, status, customer or date.</t>
  </si>
  <si>
    <t>GET /admin/orders</t>
  </si>
  <si>
    <t>Admin Panel › Order Mgmt</t>
  </si>
  <si>
    <t>BR-038, BR-043, BR-072</t>
  </si>
  <si>
    <t>F57</t>
  </si>
  <si>
    <t>UC-057</t>
  </si>
  <si>
    <t>Update order status</t>
  </si>
  <si>
    <t>Actor moves an order to the next status; API validates the transition and payment/inventory conditions and records actor and time.</t>
  </si>
  <si>
    <t>PATCH /admin/orders/{id}/status</t>
  </si>
  <si>
    <t>BR-040–BR-044, BR-046, BR-076</t>
  </si>
  <si>
    <t>F58</t>
  </si>
  <si>
    <t>UC-058</t>
  </si>
  <si>
    <t>View payment status for own order</t>
  </si>
  <si>
    <t>Customer views payment method, amount and status of their own order.</t>
  </si>
  <si>
    <t>GET /orders/{orderId}/payment</t>
  </si>
  <si>
    <t>BR-038, BR-046, BR-052</t>
  </si>
  <si>
    <t>F59</t>
  </si>
  <si>
    <t>UC-059</t>
  </si>
  <si>
    <t>Initiate supported payment</t>
  </si>
  <si>
    <t>Customer chooses COD or bank transfer; API returns instructions. Payment stays pending and is never marked paid by the client.</t>
  </si>
  <si>
    <t>POST /orders/{orderId}/payment</t>
  </si>
  <si>
    <t>Checkout, Order Detail</t>
  </si>
  <si>
    <t>BR-046–BR-049, BR-052</t>
  </si>
  <si>
    <t>F60</t>
  </si>
  <si>
    <t>UC-060</t>
  </si>
  <si>
    <t>Confirm manual bank transfer</t>
  </si>
  <si>
    <t>Actor verifies the transfer externally and confirms amount/reference; API records confirmer and time once.</t>
  </si>
  <si>
    <t>PATCH /admin/payments/{paymentId}/confirm</t>
  </si>
  <si>
    <t>BR-046, BR-048, BR-050–BR-052, BR-076</t>
  </si>
  <si>
    <t>F61</t>
  </si>
  <si>
    <t>UC-061</t>
  </si>
  <si>
    <t>Create coupon</t>
  </si>
  <si>
    <t>Admin defines code, discount, validity period, eligibility and usage limits; API validates and creates the coupon.</t>
  </si>
  <si>
    <t>POST /admin/coupons</t>
  </si>
  <si>
    <t>Admin Panel › Coupon Mgmt</t>
  </si>
  <si>
    <t>BR-054–BR-057, BR-071</t>
  </si>
  <si>
    <t>F62</t>
  </si>
  <si>
    <t>UC-062</t>
  </si>
  <si>
    <t>List and view coupons</t>
  </si>
  <si>
    <t>Admin lists/searches coupons and opens a coupon detail.</t>
  </si>
  <si>
    <t>GET /admin/coupons
GET /admin/coupons/{id} (proposed)</t>
  </si>
  <si>
    <t>BR-054–BR-056</t>
  </si>
  <si>
    <t>F63</t>
  </si>
  <si>
    <t>UC-063</t>
  </si>
  <si>
    <t>Update coupon</t>
  </si>
  <si>
    <t>Admin edits coupon fields; API validates code, dates, discount and limits. Existing orders are not affected.</t>
  </si>
  <si>
    <t>PUT /admin/coupons/{id}</t>
  </si>
  <si>
    <t>BR-054–BR-057, BR-060</t>
  </si>
  <si>
    <t>F64</t>
  </si>
  <si>
    <t>UC-064</t>
  </si>
  <si>
    <t>Delete or deactivate coupon</t>
  </si>
  <si>
    <t>Admin disables the coupon, or deletes it only if it has never been used.</t>
  </si>
  <si>
    <t>DELETE /admin/coupons/{id}</t>
  </si>
  <si>
    <t>BR-055, BR-059, BR-060</t>
  </si>
  <si>
    <t>F65</t>
  </si>
  <si>
    <t>UC-065</t>
  </si>
  <si>
    <t>Validate coupon code</t>
  </si>
  <si>
    <t>Customer enters a code; API checks status, date window, minimum order, eligible products and usage limits. No usage is consumed.</t>
  </si>
  <si>
    <t>POST /coupons/validate</t>
  </si>
  <si>
    <t>BR-055–BR-059</t>
  </si>
  <si>
    <t>F66</t>
  </si>
  <si>
    <t>UC-066</t>
  </si>
  <si>
    <t>Apply coupon to checkout</t>
  </si>
  <si>
    <t>Customer applies a valid coupon; API recalculates the discount. The coupon is revalidated when the order is placed.</t>
  </si>
  <si>
    <t>POST /checkout/preview (with couponCode)</t>
  </si>
  <si>
    <t>BR-033, BR-056–BR-059</t>
  </si>
  <si>
    <t>F67</t>
  </si>
  <si>
    <t>UC-067</t>
  </si>
  <si>
    <t>Remove coupon from checkout</t>
  </si>
  <si>
    <t>Customer removes the coupon; API recalculates totals without it.</t>
  </si>
  <si>
    <t>POST /checkout/preview (without couponCode)</t>
  </si>
  <si>
    <t>BR-033, BR-059</t>
  </si>
  <si>
    <t>F68</t>
  </si>
  <si>
    <t>UC-068</t>
  </si>
  <si>
    <t>Create product review</t>
  </si>
  <si>
    <t>Eligible Customer submits a rating and text; API validates purchase eligibility, rating range and duplicate policy.</t>
  </si>
  <si>
    <t>POST /products/{productId}/reviews</t>
  </si>
  <si>
    <t>Product Reviews</t>
  </si>
  <si>
    <t>BR-061, BR-063–BR-065, BR-071</t>
  </si>
  <si>
    <t>F69</t>
  </si>
  <si>
    <t>UC-069</t>
  </si>
  <si>
    <t>View reviews</t>
  </si>
  <si>
    <t>Actor views product reviews; public users see only visible reviews, Staff/Admin can see all for moderation.</t>
  </si>
  <si>
    <t>GET /products/{id}/reviews</t>
  </si>
  <si>
    <t>Product Detail, Product Reviews, Admin Panel › Review Moderation</t>
  </si>
  <si>
    <t>BR-065, BR-072</t>
  </si>
  <si>
    <t>F70</t>
  </si>
  <si>
    <t>UC-070</t>
  </si>
  <si>
    <t>Update own review</t>
  </si>
  <si>
    <t>Customer edits the rating/text of their own review; moderation state follows policy.</t>
  </si>
  <si>
    <t>PUT /reviews/{id}</t>
  </si>
  <si>
    <t>BR-062–BR-065</t>
  </si>
  <si>
    <t>F71</t>
  </si>
  <si>
    <t>UC-071</t>
  </si>
  <si>
    <t>Delete own review</t>
  </si>
  <si>
    <t>Customer deletes (or soft-deletes) their own review.</t>
  </si>
  <si>
    <t>DELETE /reviews/{id}</t>
  </si>
  <si>
    <t>BR-062, BR-065</t>
  </si>
  <si>
    <t>F72</t>
  </si>
  <si>
    <t>UC-072</t>
  </si>
  <si>
    <t>Moderate review</t>
  </si>
  <si>
    <t>Actor approves, hides or rejects a review; API records the decision and public visibility follows it.</t>
  </si>
  <si>
    <t>PATCH /admin/reviews/{id}/status</t>
  </si>
  <si>
    <t>Admin Panel › Review Moderation</t>
  </si>
  <si>
    <t>BR-005, BR-065, BR-076</t>
  </si>
  <si>
    <t>F73</t>
  </si>
  <si>
    <t>UC-073</t>
  </si>
  <si>
    <t>View own wishlist</t>
  </si>
  <si>
    <t>Customer views their own wishlist entries.</t>
  </si>
  <si>
    <t>GET /users/me/wishlist</t>
  </si>
  <si>
    <t>BR-066</t>
  </si>
  <si>
    <t>Could</t>
  </si>
  <si>
    <t>F74</t>
  </si>
  <si>
    <t>UC-074</t>
  </si>
  <si>
    <t>Add product to wishlist</t>
  </si>
  <si>
    <t>Customer adds a product; API prevents duplicate entries.</t>
  </si>
  <si>
    <t>POST /users/me/wishlist/items</t>
  </si>
  <si>
    <t>Product Detail, Wishlist</t>
  </si>
  <si>
    <t>BR-066, BR-071</t>
  </si>
  <si>
    <t>F75</t>
  </si>
  <si>
    <t>UC-075</t>
  </si>
  <si>
    <t>Remove product from wishlist</t>
  </si>
  <si>
    <t>Customer removes a product from their wishlist.</t>
  </si>
  <si>
    <t>DELETE /users/me/wishlist/items/{productId}</t>
  </si>
  <si>
    <t>F76</t>
  </si>
  <si>
    <t>UC-076</t>
  </si>
  <si>
    <t>View sales and order dashboard</t>
  </si>
  <si>
    <t>Admin views order and revenue metrics for a valid period.</t>
  </si>
  <si>
    <t>GET /admin/dashboard/summary</t>
  </si>
  <si>
    <t>Admin Panel › Dashboard</t>
  </si>
  <si>
    <t>BR-067–BR-069</t>
  </si>
  <si>
    <t>F77</t>
  </si>
  <si>
    <t>UC-077</t>
  </si>
  <si>
    <t>View order report</t>
  </si>
  <si>
    <t>Admin views order counts and summaries by date range/status.</t>
  </si>
  <si>
    <t>GET /admin/reports/orders (proposed)</t>
  </si>
  <si>
    <t>F78</t>
  </si>
  <si>
    <t>UC-078</t>
  </si>
  <si>
    <t>View best-selling products report</t>
  </si>
  <si>
    <t>Admin views products ranked by the agreed quantity/revenue definition for a period.</t>
  </si>
  <si>
    <t>GET /admin/reports/top-products</t>
  </si>
  <si>
    <t>BR-067, BR-069, BR-070</t>
  </si>
  <si>
    <t>Role</t>
  </si>
  <si>
    <t>Type</t>
  </si>
  <si>
    <t>Mobile area</t>
  </si>
  <si>
    <t>Unauthenticated actor (not stored)</t>
  </si>
  <si>
    <t>Visitor who may register, sign in, reset a password and browse, search, filter and sort the public catalog and reviews.</t>
  </si>
  <si>
    <t>Auth screens, Home, Product List / Detail, Search</t>
  </si>
  <si>
    <t>Authenticated role</t>
  </si>
  <si>
    <t>Registered shopper who manages their own profile, addresses, cart, orders, payments, wishlist and eligible reviews.</t>
  </si>
  <si>
    <t>Customer app (bottom navigation)</t>
  </si>
  <si>
    <t>Staff</t>
  </si>
  <si>
    <t>Operational user who maintains catalog and inventory, processes orders, confirms manual bank transfers and moderates reviews. Cannot manage roles, users, coupons or reports.</t>
  </si>
  <si>
    <t>Admin Panel (operational items only) + Profile</t>
  </si>
  <si>
    <t>Administrator with all Staff capabilities plus user and role management, coupon management and reports.</t>
  </si>
  <si>
    <t>Admin Panel (all items) + Profile</t>
  </si>
  <si>
    <t>Capability</t>
  </si>
  <si>
    <t>Browse public catalog and reviews</t>
  </si>
  <si>
    <t>Yes</t>
  </si>
  <si>
    <t>Manage own profile and password</t>
  </si>
  <si>
    <t>No</t>
  </si>
  <si>
    <t>Manage own addresses, cart, orders, payments</t>
  </si>
  <si>
    <t>No by default</t>
  </si>
  <si>
    <t>Manage own wishlist and reviews</t>
  </si>
  <si>
    <t>Manage catalog (categories, brands, products, variants, images)</t>
  </si>
  <si>
    <t>Manage inventory</t>
  </si>
  <si>
    <t>Process all orders</t>
  </si>
  <si>
    <t>Moderate reviews</t>
  </si>
  <si>
    <t>Manage coupons</t>
  </si>
  <si>
    <t>Manage users and roles</t>
  </si>
  <si>
    <t>View dashboard and reports</t>
  </si>
  <si>
    <t>Screen / Navigation item</t>
  </si>
  <si>
    <t>Login, Register, Forgot / Reset Password</t>
  </si>
  <si>
    <t>F01, F02, F04, F05</t>
  </si>
  <si>
    <t>●</t>
  </si>
  <si>
    <t>–</t>
  </si>
  <si>
    <t>Home, Product List, Categories &amp; Search</t>
  </si>
  <si>
    <t>F38, F40–F42</t>
  </si>
  <si>
    <t>F39, F69</t>
  </si>
  <si>
    <t>Product Detail › Add to Cart / Add to Wishlist</t>
  </si>
  <si>
    <t>F47, F74</t>
  </si>
  <si>
    <t>Prompt</t>
  </si>
  <si>
    <t>Product Reviews › Write / Edit / Delete review</t>
  </si>
  <si>
    <t>F68, F70, F71</t>
  </si>
  <si>
    <t>F46, F48–F50</t>
  </si>
  <si>
    <t>Checkout (address, coupon, payment)</t>
  </si>
  <si>
    <t>F51, F52, F59, F65–F67</t>
  </si>
  <si>
    <t>Order History, Order Detail</t>
  </si>
  <si>
    <t>F53–F55, F58</t>
  </si>
  <si>
    <t>Profile, Change Password, Sign Out</t>
  </si>
  <si>
    <t>F03, F06–F08</t>
  </si>
  <si>
    <t>F09–F12</t>
  </si>
  <si>
    <t>F18–F37</t>
  </si>
  <si>
    <t>Admin Panel › Order Mgmt (incl. payment confirmation)</t>
  </si>
  <si>
    <t>F56, F57, F60</t>
  </si>
  <si>
    <t>F69, F72</t>
  </si>
  <si>
    <t>F61–F64</t>
  </si>
  <si>
    <t>F13–F17</t>
  </si>
  <si>
    <t>Admin Panel › Dashboard &amp; Reports</t>
  </si>
  <si>
    <t>● shown · – hidden · Prompt: visible but asks a Guest to sign in</t>
  </si>
  <si>
    <t>ID</t>
  </si>
  <si>
    <t>Rule</t>
  </si>
  <si>
    <t>Group</t>
  </si>
  <si>
    <t>BR-001</t>
  </si>
  <si>
    <t>Supported roles</t>
  </si>
  <si>
    <t>Roles and Access Control</t>
  </si>
  <si>
    <t>BR-002</t>
  </si>
  <si>
    <t>Public access</t>
  </si>
  <si>
    <t>BR-003</t>
  </si>
  <si>
    <t>Customer ownership</t>
  </si>
  <si>
    <t>BR-004</t>
  </si>
  <si>
    <t>Staff permissions</t>
  </si>
  <si>
    <t>BR-005</t>
  </si>
  <si>
    <t>Admin permissions</t>
  </si>
  <si>
    <t>BR-006</t>
  </si>
  <si>
    <t>Identity source</t>
  </si>
  <si>
    <t>BR-007</t>
  </si>
  <si>
    <t>Account status</t>
  </si>
  <si>
    <t>BR-008</t>
  </si>
  <si>
    <t>Unique email</t>
  </si>
  <si>
    <t>Authentication and User Data</t>
  </si>
  <si>
    <t>BR-009</t>
  </si>
  <si>
    <t>Password storage</t>
  </si>
  <si>
    <t>BR-010</t>
  </si>
  <si>
    <t>Password reset</t>
  </si>
  <si>
    <t>BR-011</t>
  </si>
  <si>
    <t>Profile update</t>
  </si>
  <si>
    <t>BR-012</t>
  </si>
  <si>
    <t>Address ownership</t>
  </si>
  <si>
    <t>BR-013</t>
  </si>
  <si>
    <t>Order address snapshot</t>
  </si>
  <si>
    <t>BR-014</t>
  </si>
  <si>
    <t>Product status</t>
  </si>
  <si>
    <t>Product Catalog</t>
  </si>
  <si>
    <t>Category and brand references</t>
  </si>
  <si>
    <t>BR-016</t>
  </si>
  <si>
    <t>Product variants</t>
  </si>
  <si>
    <t>BR-017</t>
  </si>
  <si>
    <t>Unique SKU</t>
  </si>
  <si>
    <t>BR-018</t>
  </si>
  <si>
    <t>Price validity</t>
  </si>
  <si>
    <t>Product images</t>
  </si>
  <si>
    <t>BR-020</t>
  </si>
  <si>
    <t>Referenced product deletion</t>
  </si>
  <si>
    <t>Public catalog filters</t>
  </si>
  <si>
    <t>BR-022</t>
  </si>
  <si>
    <t>Variant-level stock</t>
  </si>
  <si>
    <t>BR-023</t>
  </si>
  <si>
    <t>Non-negative stock</t>
  </si>
  <si>
    <t>BR-024</t>
  </si>
  <si>
    <t>Server-side stock validation</t>
  </si>
  <si>
    <t>BR-025</t>
  </si>
  <si>
    <t>Atomic inventory changes</t>
  </si>
  <si>
    <t>BR-026</t>
  </si>
  <si>
    <t>Inventory adjustment permission</t>
  </si>
  <si>
    <t>BR-027</t>
  </si>
  <si>
    <t>Inventory movement history</t>
  </si>
  <si>
    <t>BR-028</t>
  </si>
  <si>
    <t>Cancellation stock policy</t>
  </si>
  <si>
    <t>Cart ownership</t>
  </si>
  <si>
    <t>Cart and Checkout</t>
  </si>
  <si>
    <t>BR-030</t>
  </si>
  <si>
    <t>Valid cart item</t>
  </si>
  <si>
    <t>BR-031</t>
  </si>
  <si>
    <t>Cart is not a price guarantee</t>
  </si>
  <si>
    <t>BR-032</t>
  </si>
  <si>
    <t>Checkout address</t>
  </si>
  <si>
    <t>BR-033</t>
  </si>
  <si>
    <t>Server-calculated totals</t>
  </si>
  <si>
    <t>BR-034</t>
  </si>
  <si>
    <t>Monetary precision</t>
  </si>
  <si>
    <t>BR-035</t>
  </si>
  <si>
    <t>Checkout consistency</t>
  </si>
  <si>
    <t>BR-036</t>
  </si>
  <si>
    <t>Duplicate submission</t>
  </si>
  <si>
    <t>BR-037</t>
  </si>
  <si>
    <t>Cart cleanup</t>
  </si>
  <si>
    <t>BR-038</t>
  </si>
  <si>
    <t>Order ownership</t>
  </si>
  <si>
    <t>Orders</t>
  </si>
  <si>
    <t>BR-039</t>
  </si>
  <si>
    <t>Order item snapshot</t>
  </si>
  <si>
    <t>BR-040</t>
  </si>
  <si>
    <t>Order states</t>
  </si>
  <si>
    <t>BR-041</t>
  </si>
  <si>
    <t>Valid state transitions</t>
  </si>
  <si>
    <t>BR-042</t>
  </si>
  <si>
    <t>Customer cancellation</t>
  </si>
  <si>
    <t>BR-043</t>
  </si>
  <si>
    <t>Staff order processing</t>
  </si>
  <si>
    <t>BR-044</t>
  </si>
  <si>
    <t>Historical integrity</t>
  </si>
  <si>
    <t>BR-045</t>
  </si>
  <si>
    <t>Order totals are immutable snapshots</t>
  </si>
  <si>
    <t>BR-046</t>
  </si>
  <si>
    <t>Separate payment and order states</t>
  </si>
  <si>
    <t>Payment</t>
  </si>
  <si>
    <t>BR-047</t>
  </si>
  <si>
    <t>Initial payment methods</t>
  </si>
  <si>
    <t>BR-048</t>
  </si>
  <si>
    <t>Customer cannot self-confirm payment</t>
  </si>
  <si>
    <t>BR-049</t>
  </si>
  <si>
    <t>COD status</t>
  </si>
  <si>
    <t>BR-050</t>
  </si>
  <si>
    <t>Manual bank transfer</t>
  </si>
  <si>
    <t>BR-051</t>
  </si>
  <si>
    <t>Duplicate payment confirmation</t>
  </si>
  <si>
    <t>BR-052</t>
  </si>
  <si>
    <t>Payment amount</t>
  </si>
  <si>
    <t>BR-053</t>
  </si>
  <si>
    <t>Refund policy</t>
  </si>
  <si>
    <t>BR-054</t>
  </si>
  <si>
    <t>Unique coupon code</t>
  </si>
  <si>
    <t>Promotions and Coupons</t>
  </si>
  <si>
    <t>BR-055</t>
  </si>
  <si>
    <t>Coupon validity window</t>
  </si>
  <si>
    <t>BR-056</t>
  </si>
  <si>
    <t>Coupon eligibility</t>
  </si>
  <si>
    <t>BR-057</t>
  </si>
  <si>
    <t>Discount bounds</t>
  </si>
  <si>
    <t>BR-058</t>
  </si>
  <si>
    <t>Coupon revalidation</t>
  </si>
  <si>
    <t>BR-059</t>
  </si>
  <si>
    <t>Coupon usage consistency</t>
  </si>
  <si>
    <t>BR-060</t>
  </si>
  <si>
    <t>Coupon updates</t>
  </si>
  <si>
    <t>BR-061</t>
  </si>
  <si>
    <t>Review eligibility</t>
  </si>
  <si>
    <t>Reviews and Wishlist</t>
  </si>
  <si>
    <t>BR-062</t>
  </si>
  <si>
    <t>Review ownership</t>
  </si>
  <si>
    <t>BR-063</t>
  </si>
  <si>
    <t>Review uniqueness</t>
  </si>
  <si>
    <t>BR-064</t>
  </si>
  <si>
    <t>Review rating</t>
  </si>
  <si>
    <t>BR-065</t>
  </si>
  <si>
    <t>Review moderation</t>
  </si>
  <si>
    <t>Wishlist ownership</t>
  </si>
  <si>
    <t>BR-067</t>
  </si>
  <si>
    <t>Admin-only reports</t>
  </si>
  <si>
    <t>Reporting</t>
  </si>
  <si>
    <t>BR-068</t>
  </si>
  <si>
    <t>Revenue definition</t>
  </si>
  <si>
    <t>BR-069</t>
  </si>
  <si>
    <t>Date range validation</t>
  </si>
  <si>
    <t>BR-070</t>
  </si>
  <si>
    <t>Best-selling calculation</t>
  </si>
  <si>
    <t>BR-071</t>
  </si>
  <si>
    <t>Server-side validation</t>
  </si>
  <si>
    <t>API and Data Integrity</t>
  </si>
  <si>
    <t>BR-072</t>
  </si>
  <si>
    <t>Consistent errors</t>
  </si>
  <si>
    <t>BR-073</t>
  </si>
  <si>
    <t>Database constraints</t>
  </si>
  <si>
    <t>BR-074</t>
  </si>
  <si>
    <t>Transaction boundaries</t>
  </si>
  <si>
    <t>BR-075</t>
  </si>
  <si>
    <t>Concurrency</t>
  </si>
  <si>
    <t>BR-076</t>
  </si>
  <si>
    <t>Audit-sensitive actions</t>
  </si>
  <si>
    <t>BR-077</t>
  </si>
  <si>
    <t>Secret handling</t>
  </si>
  <si>
    <t>BR-078</t>
  </si>
  <si>
    <t>Authentication enforcement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</si>
</sst>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9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i/>
      <sz val="9"/>
      <name val="Arial"/>
      <charset val="134"/>
    </font>
    <font>
      <sz val="9"/>
      <name val="Consolas"/>
      <charset val="134"/>
    </font>
    <font>
      <b/>
      <sz val="16"/>
      <color rgb="FF1F4E79"/>
      <name val="Arial"/>
      <charset val="134"/>
    </font>
    <font>
      <b/>
      <sz val="12"/>
      <color rgb="FF1F4E7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BE5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78" fontId="3" fillId="0" borderId="1" xfId="0" applyNumberFormat="1" applyFont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6" fillId="0" borderId="0" xfId="0" applyFont="1"/>
    <xf numFmtId="0" fontId="2" fillId="0" borderId="0" xfId="0" applyFont="1"/>
    <xf numFmtId="178" fontId="3" fillId="5" borderId="0" xfId="0" applyNumberFormat="1" applyFont="1" applyFill="1"/>
    <xf numFmtId="0" fontId="7" fillId="0" borderId="0" xfId="0" applyFont="1"/>
    <xf numFmtId="178" fontId="3" fillId="5" borderId="1" xfId="0" applyNumberFormat="1" applyFont="1" applyFill="1" applyBorder="1" applyAlignment="1">
      <alignment horizontal="center" vertical="top" wrapText="1"/>
    </xf>
    <xf numFmtId="178" fontId="2" fillId="0" borderId="1" xfId="0" applyNumberFormat="1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 wrapText="1"/>
    </xf>
    <xf numFmtId="9" fontId="2" fillId="0" borderId="1" xfId="0" applyNumberFormat="1" applyFont="1" applyBorder="1" applyAlignment="1">
      <alignment horizontal="center" vertical="top" wrapText="1"/>
    </xf>
    <xf numFmtId="0" fontId="3" fillId="0" borderId="0" xfId="0" applyFont="1"/>
    <xf numFmtId="0" fontId="3" fillId="5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oles" displayName="Roles" ref="A1:D5">
  <autoFilter xmlns:etc="http://www.wps.cn/officeDocument/2017/etCustomData" ref="A1:D5" etc:filterBottomFollowUsedRange="0"/>
  <tableColumns count="4">
    <tableColumn id="1" name="Role"/>
    <tableColumn id="2" name="Type"/>
    <tableColumn id="3" name="Description"/>
    <tableColumn id="4" name="Mobile are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BusinessRules" displayName="BusinessRules" ref="A1:C79">
  <autoFilter xmlns:etc="http://www.wps.cn/officeDocument/2017/etCustomData" ref="A1:C79" etc:filterBottomFollowUsedRange="0"/>
  <tableColumns count="3">
    <tableColumn id="1" name="ID"/>
    <tableColumn id="2" name="Rule"/>
    <tableColumn id="3" name="Group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3"/>
  <sheetViews>
    <sheetView tabSelected="1" workbookViewId="0">
      <selection activeCell="A1" sqref="A1"/>
    </sheetView>
  </sheetViews>
  <sheetFormatPr defaultColWidth="9" defaultRowHeight="14.4" outlineLevelCol="5"/>
  <cols>
    <col min="1" max="1" width="24" customWidth="1"/>
    <col min="2" max="2" width="16" customWidth="1"/>
    <col min="3" max="4" width="12" customWidth="1"/>
    <col min="5" max="5" width="14" customWidth="1"/>
    <col min="6" max="6" width="40" customWidth="1"/>
  </cols>
  <sheetData>
    <row r="1" ht="21" spans="1:2">
      <c r="A1" s="14" t="s">
        <v>0</v>
      </c>
    </row>
    <row r="3" spans="1:2">
      <c r="A3" s="15" t="s">
        <v>1</v>
      </c>
      <c r="B3" s="22" t="s">
        <v>2</v>
      </c>
    </row>
    <row r="4" spans="1:2">
      <c r="A4" s="15" t="s">
        <v>3</v>
      </c>
      <c r="B4" s="22" t="s">
        <v>4</v>
      </c>
    </row>
    <row r="5" spans="1:2">
      <c r="A5" s="15" t="s">
        <v>5</v>
      </c>
      <c r="B5" s="22" t="s">
        <v>6</v>
      </c>
    </row>
    <row r="6" spans="1:2">
      <c r="A6" s="15" t="s">
        <v>7</v>
      </c>
      <c r="B6" s="22" t="s">
        <v>8</v>
      </c>
    </row>
    <row r="7" spans="1:2">
      <c r="A7" s="15" t="s">
        <v>9</v>
      </c>
      <c r="B7" s="22" t="s">
        <v>10</v>
      </c>
    </row>
    <row r="8" spans="1:2">
      <c r="A8" s="15" t="s">
        <v>11</v>
      </c>
      <c r="B8" s="22" t="s">
        <v>12</v>
      </c>
    </row>
    <row r="9" spans="1:2">
      <c r="A9" s="15" t="s">
        <v>13</v>
      </c>
      <c r="B9" s="22" t="s">
        <v>14</v>
      </c>
    </row>
    <row r="10" spans="1:2">
      <c r="A10" s="15" t="s">
        <v>15</v>
      </c>
      <c r="B10" s="22" t="s">
        <v>16</v>
      </c>
    </row>
    <row r="12" ht="15.6" spans="1:2">
      <c r="A12" s="17" t="s">
        <v>17</v>
      </c>
    </row>
    <row r="13" spans="1:2">
      <c r="A13" s="22" t="s">
        <v>18</v>
      </c>
    </row>
    <row r="14" spans="1:2">
      <c r="A14" s="22" t="s">
        <v>19</v>
      </c>
    </row>
    <row r="15" spans="1:2">
      <c r="A15" s="22" t="s">
        <v>20</v>
      </c>
    </row>
    <row r="16" spans="1:2">
      <c r="A16" s="22" t="s">
        <v>21</v>
      </c>
    </row>
    <row r="17" spans="1:6">
      <c r="A17" s="22" t="s">
        <v>22</v>
      </c>
    </row>
    <row r="18" spans="1:6">
      <c r="A18" s="23" t="s">
        <v>23</v>
      </c>
    </row>
    <row r="20" ht="15.6" spans="1:6">
      <c r="A20" s="17" t="s">
        <v>24</v>
      </c>
    </row>
    <row r="21" spans="1:6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29</v>
      </c>
      <c r="F21" s="1" t="s">
        <v>30</v>
      </c>
    </row>
    <row r="22" spans="1:6">
      <c r="A22" s="3" t="s">
        <v>31</v>
      </c>
      <c r="B22" s="3" t="s">
        <v>32</v>
      </c>
      <c r="C22" s="9">
        <f>COUNTIF(Features!$B$2:$B$79,A22)</f>
        <v>5</v>
      </c>
      <c r="D22" s="9">
        <f>COUNTIFS(Features!$B$2:$B$79,A22,Features!$N$2:$N$79,"Done")</f>
        <v>5</v>
      </c>
      <c r="E22" s="20">
        <f t="shared" ref="E22:E33" si="0">IF(C22=0,0,D22/C22)</f>
        <v>1</v>
      </c>
      <c r="F22" s="3" t="s">
        <v>33</v>
      </c>
    </row>
    <row r="23" spans="1:6">
      <c r="A23" s="3" t="s">
        <v>34</v>
      </c>
      <c r="B23" s="3" t="s">
        <v>35</v>
      </c>
      <c r="C23" s="9">
        <f>COUNTIF(Features!$B$2:$B$79,A23)</f>
        <v>12</v>
      </c>
      <c r="D23" s="9">
        <f>COUNTIFS(Features!$B$2:$B$79,A23,Features!$N$2:$N$79,"Done")</f>
        <v>4</v>
      </c>
      <c r="E23" s="20">
        <f t="shared" si="0"/>
        <v>0.333333333333333</v>
      </c>
      <c r="F23" s="3" t="s">
        <v>36</v>
      </c>
    </row>
    <row r="24" spans="1:6">
      <c r="A24" s="3" t="s">
        <v>37</v>
      </c>
      <c r="B24" s="3" t="s">
        <v>38</v>
      </c>
      <c r="C24" s="9">
        <f>COUNTIF(Features!$B$2:$B$79,A24)</f>
        <v>25</v>
      </c>
      <c r="D24" s="9">
        <f>COUNTIFS(Features!$B$2:$B$79,A24,Features!$N$2:$N$79,"Done")</f>
        <v>18</v>
      </c>
      <c r="E24" s="20">
        <f t="shared" si="0"/>
        <v>0.72</v>
      </c>
      <c r="F24" s="3" t="s">
        <v>33</v>
      </c>
    </row>
    <row r="25" spans="1:6">
      <c r="A25" s="3" t="s">
        <v>39</v>
      </c>
      <c r="B25" s="3" t="s">
        <v>40</v>
      </c>
      <c r="C25" s="9">
        <f>COUNTIF(Features!$B$2:$B$79,A25)</f>
        <v>3</v>
      </c>
      <c r="D25" s="9">
        <f>COUNTIFS(Features!$B$2:$B$79,A25,Features!$N$2:$N$79,"Done")</f>
        <v>0</v>
      </c>
      <c r="E25" s="20">
        <f t="shared" si="0"/>
        <v>0</v>
      </c>
      <c r="F25" s="3" t="s">
        <v>41</v>
      </c>
    </row>
    <row r="26" spans="1:6">
      <c r="A26" s="3" t="s">
        <v>42</v>
      </c>
      <c r="B26" s="3" t="s">
        <v>43</v>
      </c>
      <c r="C26" s="9">
        <f>COUNTIF(Features!$B$2:$B$79,A26)</f>
        <v>5</v>
      </c>
      <c r="D26" s="9">
        <f>COUNTIFS(Features!$B$2:$B$79,A26,Features!$N$2:$N$79,"Done")</f>
        <v>5</v>
      </c>
      <c r="E26" s="20">
        <f t="shared" si="0"/>
        <v>1</v>
      </c>
      <c r="F26" s="3" t="s">
        <v>44</v>
      </c>
    </row>
    <row r="27" spans="1:6">
      <c r="A27" s="3" t="s">
        <v>45</v>
      </c>
      <c r="B27" s="3" t="s">
        <v>46</v>
      </c>
      <c r="C27" s="9">
        <f>COUNTIF(Features!$B$2:$B$79,A27)</f>
        <v>7</v>
      </c>
      <c r="D27" s="9">
        <f>COUNTIFS(Features!$B$2:$B$79,A27,Features!$N$2:$N$79,"Done")</f>
        <v>2</v>
      </c>
      <c r="E27" s="20">
        <f t="shared" si="0"/>
        <v>0.285714285714286</v>
      </c>
      <c r="F27" s="3" t="s">
        <v>36</v>
      </c>
    </row>
    <row r="28" spans="1:6">
      <c r="A28" s="3" t="s">
        <v>47</v>
      </c>
      <c r="B28" s="3" t="s">
        <v>48</v>
      </c>
      <c r="C28" s="9">
        <f>COUNTIF(Features!$B$2:$B$79,A28)</f>
        <v>3</v>
      </c>
      <c r="D28" s="9">
        <f>COUNTIFS(Features!$B$2:$B$79,A28,Features!$N$2:$N$79,"Done")</f>
        <v>0</v>
      </c>
      <c r="E28" s="20">
        <f t="shared" si="0"/>
        <v>0</v>
      </c>
      <c r="F28" s="3" t="s">
        <v>36</v>
      </c>
    </row>
    <row r="29" spans="1:6">
      <c r="A29" s="3" t="s">
        <v>49</v>
      </c>
      <c r="B29" s="3" t="s">
        <v>50</v>
      </c>
      <c r="C29" s="9">
        <f>COUNTIF(Features!$B$2:$B$79,A29)</f>
        <v>7</v>
      </c>
      <c r="D29" s="9">
        <f>COUNTIFS(Features!$B$2:$B$79,A29,Features!$N$2:$N$79,"Done")</f>
        <v>0</v>
      </c>
      <c r="E29" s="20">
        <f t="shared" si="0"/>
        <v>0</v>
      </c>
      <c r="F29" s="3" t="s">
        <v>51</v>
      </c>
    </row>
    <row r="30" spans="1:6">
      <c r="A30" s="3" t="s">
        <v>52</v>
      </c>
      <c r="B30" s="3" t="s">
        <v>53</v>
      </c>
      <c r="C30" s="9">
        <f>COUNTIF(Features!$B$2:$B$79,A30)</f>
        <v>5</v>
      </c>
      <c r="D30" s="9">
        <f>COUNTIFS(Features!$B$2:$B$79,A30,Features!$N$2:$N$79,"Done")</f>
        <v>0</v>
      </c>
      <c r="E30" s="20">
        <f t="shared" si="0"/>
        <v>0</v>
      </c>
      <c r="F30" s="3" t="s">
        <v>33</v>
      </c>
    </row>
    <row r="31" spans="1:6">
      <c r="A31" s="3" t="s">
        <v>54</v>
      </c>
      <c r="B31" s="3" t="s">
        <v>55</v>
      </c>
      <c r="C31" s="9">
        <f>COUNTIF(Features!$B$2:$B$79,A31)</f>
        <v>3</v>
      </c>
      <c r="D31" s="9">
        <f>COUNTIFS(Features!$B$2:$B$79,A31,Features!$N$2:$N$79,"Done")</f>
        <v>3</v>
      </c>
      <c r="E31" s="20">
        <f t="shared" si="0"/>
        <v>1</v>
      </c>
      <c r="F31" s="3" t="s">
        <v>44</v>
      </c>
    </row>
    <row r="32" spans="1:6">
      <c r="A32" s="3" t="s">
        <v>56</v>
      </c>
      <c r="B32" s="3" t="s">
        <v>57</v>
      </c>
      <c r="C32" s="9">
        <f>COUNTIF(Features!$B$2:$B$79,A32)</f>
        <v>3</v>
      </c>
      <c r="D32" s="9">
        <f>COUNTIFS(Features!$B$2:$B$79,A32,Features!$N$2:$N$79,"Done")</f>
        <v>0</v>
      </c>
      <c r="E32" s="20">
        <f t="shared" si="0"/>
        <v>0</v>
      </c>
      <c r="F32" s="3" t="s">
        <v>58</v>
      </c>
    </row>
    <row r="33" spans="1:6">
      <c r="A33" s="8" t="s">
        <v>59</v>
      </c>
      <c r="B33" s="8" t="s">
        <v>60</v>
      </c>
      <c r="C33" s="2">
        <f>SUM(C22:C32)</f>
        <v>78</v>
      </c>
      <c r="D33" s="2">
        <f>SUM(D22:D32)</f>
        <v>37</v>
      </c>
      <c r="E33" s="21">
        <f t="shared" si="0"/>
        <v>0.474358974358974</v>
      </c>
      <c r="F33" s="8" t="s">
        <v>33</v>
      </c>
    </row>
  </sheetData>
  <mergeCells count="5">
    <mergeCell ref="A13:F13"/>
    <mergeCell ref="A14:F14"/>
    <mergeCell ref="A15:F15"/>
    <mergeCell ref="A16:F16"/>
    <mergeCell ref="A17:F17"/>
  </mergeCells>
  <conditionalFormatting sqref="E22:E33">
    <cfRule type="expression" dxfId="0" priority="1">
      <formula>E22=1</formula>
    </cfRule>
  </conditionalFormatting>
  <pageMargins left="0.75" right="0.75" top="1" bottom="1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9"/>
  <sheetViews>
    <sheetView workbookViewId="0">
      <selection activeCell="A1" sqref="A1"/>
    </sheetView>
  </sheetViews>
  <sheetFormatPr defaultColWidth="9" defaultRowHeight="14.4"/>
  <cols>
    <col min="1" max="1" width="26" customWidth="1"/>
    <col min="2" max="2" width="20" customWidth="1"/>
    <col min="3" max="4" width="13" customWidth="1"/>
    <col min="5" max="5" width="40" customWidth="1"/>
    <col min="6" max="7" width="10" customWidth="1"/>
    <col min="8" max="8" width="12" customWidth="1"/>
    <col min="9" max="9" width="11" customWidth="1"/>
  </cols>
  <sheetData>
    <row r="1" ht="21" spans="1:9">
      <c r="A1" s="14" t="s">
        <v>61</v>
      </c>
    </row>
    <row r="2" spans="1:9">
      <c r="A2" s="15" t="s">
        <v>62</v>
      </c>
      <c r="B2" s="16">
        <v>46272</v>
      </c>
    </row>
    <row r="4" ht="15.6" spans="1:9">
      <c r="A4" s="17" t="s">
        <v>63</v>
      </c>
    </row>
    <row r="5" spans="1:9">
      <c r="A5" s="1" t="s">
        <v>64</v>
      </c>
      <c r="B5" s="1" t="s">
        <v>65</v>
      </c>
      <c r="C5" s="1" t="s">
        <v>66</v>
      </c>
      <c r="D5" s="1" t="s">
        <v>67</v>
      </c>
      <c r="E5" s="1" t="s">
        <v>27</v>
      </c>
      <c r="F5" s="1" t="s">
        <v>59</v>
      </c>
      <c r="G5" s="1" t="s">
        <v>28</v>
      </c>
      <c r="H5" s="1" t="s">
        <v>68</v>
      </c>
      <c r="I5" s="1" t="s">
        <v>69</v>
      </c>
    </row>
    <row r="6" ht="26.4" spans="1:9">
      <c r="A6" s="8" t="s">
        <v>70</v>
      </c>
      <c r="B6" s="12">
        <f>$B$2</f>
        <v>46272</v>
      </c>
      <c r="C6" s="18">
        <v>46308</v>
      </c>
      <c r="D6" s="9" t="s">
        <v>28</v>
      </c>
      <c r="E6" s="9" t="s">
        <v>71</v>
      </c>
      <c r="F6" s="9">
        <f>COUNTIF(Features!$L$2:$L$79,1)</f>
        <v>37</v>
      </c>
      <c r="G6" s="9">
        <f>COUNTIFS(Features!$L$2:$L$79,1,Features!$N$2:$N$79,"Done")</f>
        <v>37</v>
      </c>
      <c r="H6" s="9">
        <f>COUNTIFS(Features!$L$2:$L$79,1,Features!$N$2:$N$79,"Processing")</f>
        <v>0</v>
      </c>
      <c r="I6" s="9">
        <f>COUNTIFS(Features!$L$2:$L$79,1,Features!$N$2:$N$79,"Not Start")</f>
        <v>0</v>
      </c>
    </row>
    <row r="7" spans="1:9">
      <c r="A7" s="8" t="s">
        <v>72</v>
      </c>
      <c r="B7" s="12">
        <f>C6+1</f>
        <v>46309</v>
      </c>
      <c r="C7" s="18">
        <v>46316</v>
      </c>
      <c r="D7" s="9" t="s">
        <v>68</v>
      </c>
      <c r="E7" s="9" t="s">
        <v>73</v>
      </c>
      <c r="F7" s="9">
        <f>COUNTIF(Features!$L$2:$L$79,2)</f>
        <v>24</v>
      </c>
      <c r="G7" s="9">
        <f>COUNTIFS(Features!$L$2:$L$79,2,Features!$N$2:$N$79,"Done")</f>
        <v>0</v>
      </c>
      <c r="H7" s="9">
        <f>COUNTIFS(Features!$L$2:$L$79,2,Features!$N$2:$N$79,"Processing")</f>
        <v>24</v>
      </c>
      <c r="I7" s="9">
        <f>COUNTIFS(Features!$L$2:$L$79,2,Features!$N$2:$N$79,"Not Start")</f>
        <v>0</v>
      </c>
    </row>
    <row r="8" spans="1:9">
      <c r="A8" s="8" t="s">
        <v>74</v>
      </c>
      <c r="B8" s="12">
        <f>C7+1</f>
        <v>46317</v>
      </c>
      <c r="C8" s="18">
        <v>46322</v>
      </c>
      <c r="D8" s="9" t="s">
        <v>69</v>
      </c>
      <c r="E8" s="9" t="s">
        <v>75</v>
      </c>
      <c r="F8" s="9">
        <f>COUNTIF(Features!$L$2:$L$79,3)</f>
        <v>17</v>
      </c>
      <c r="G8" s="9">
        <f>COUNTIFS(Features!$L$2:$L$79,3,Features!$N$2:$N$79,"Done")</f>
        <v>0</v>
      </c>
      <c r="H8" s="9">
        <f>COUNTIFS(Features!$L$2:$L$79,3,Features!$N$2:$N$79,"Processing")</f>
        <v>0</v>
      </c>
      <c r="I8" s="9">
        <f>COUNTIFS(Features!$L$2:$L$79,3,Features!$N$2:$N$79,"Not Start")</f>
        <v>17</v>
      </c>
    </row>
    <row r="9" spans="1:9">
      <c r="A9" s="8" t="s">
        <v>59</v>
      </c>
      <c r="B9" s="19">
        <f>B6</f>
        <v>46272</v>
      </c>
      <c r="C9" s="19">
        <f>C8</f>
        <v>46322</v>
      </c>
      <c r="D9" s="2"/>
      <c r="E9" s="2" t="s">
        <v>60</v>
      </c>
      <c r="F9" s="2">
        <f>SUM(F6:F8)</f>
        <v>78</v>
      </c>
      <c r="G9" s="2">
        <f>SUM(G6:G8)</f>
        <v>37</v>
      </c>
      <c r="H9" s="2">
        <f>SUM(H6:H8)</f>
        <v>24</v>
      </c>
      <c r="I9" s="2">
        <f>SUM(I6:I8)</f>
        <v>17</v>
      </c>
    </row>
    <row r="11" ht="15.6" spans="1:9">
      <c r="A11" s="17" t="s">
        <v>76</v>
      </c>
    </row>
    <row r="12" ht="26.4" spans="1:9">
      <c r="A12" s="1" t="s">
        <v>77</v>
      </c>
      <c r="B12" s="1" t="s">
        <v>78</v>
      </c>
      <c r="C12" s="1" t="s">
        <v>59</v>
      </c>
      <c r="D12" s="1" t="s">
        <v>29</v>
      </c>
      <c r="E12" s="1" t="s">
        <v>27</v>
      </c>
      <c r="F12" s="1" t="s">
        <v>28</v>
      </c>
      <c r="G12" s="1" t="s">
        <v>68</v>
      </c>
      <c r="H12" s="1" t="s">
        <v>69</v>
      </c>
    </row>
    <row r="13" spans="1:9">
      <c r="A13" s="8" t="s">
        <v>79</v>
      </c>
      <c r="B13" s="9" t="s">
        <v>80</v>
      </c>
      <c r="C13" s="9">
        <f>COUNTIF(Features!$O$2:$O$79,A13)</f>
        <v>17</v>
      </c>
      <c r="D13" s="20">
        <f t="shared" ref="D13:D18" si="0">IF(C13=0,0,F13/C13)</f>
        <v>0.529411764705882</v>
      </c>
      <c r="E13" s="9" t="s">
        <v>81</v>
      </c>
      <c r="F13" s="9">
        <f>COUNTIFS(Features!$O$2:$O$79,A13,Features!$N$2:$N$79,"Done")</f>
        <v>9</v>
      </c>
      <c r="G13" s="9">
        <f>COUNTIFS(Features!$O$2:$O$79,A13,Features!$N$2:$N$79,"Processing")</f>
        <v>3</v>
      </c>
      <c r="H13" s="9">
        <f>COUNTIFS(Features!$O$2:$O$79,A13,Features!$N$2:$N$79,"Not Start")</f>
        <v>5</v>
      </c>
    </row>
    <row r="14" spans="1:9">
      <c r="A14" s="8" t="s">
        <v>82</v>
      </c>
      <c r="B14" s="9" t="s">
        <v>83</v>
      </c>
      <c r="C14" s="9">
        <f>COUNTIF(Features!$O$2:$O$79,A14)</f>
        <v>15</v>
      </c>
      <c r="D14" s="20">
        <f t="shared" si="0"/>
        <v>0.333333333333333</v>
      </c>
      <c r="E14" s="9" t="s">
        <v>84</v>
      </c>
      <c r="F14" s="9">
        <f>COUNTIFS(Features!$O$2:$O$79,A14,Features!$N$2:$N$79,"Done")</f>
        <v>5</v>
      </c>
      <c r="G14" s="9">
        <f>COUNTIFS(Features!$O$2:$O$79,A14,Features!$N$2:$N$79,"Processing")</f>
        <v>6</v>
      </c>
      <c r="H14" s="9">
        <f>COUNTIFS(Features!$O$2:$O$79,A14,Features!$N$2:$N$79,"Not Start")</f>
        <v>4</v>
      </c>
    </row>
    <row r="15" spans="1:9">
      <c r="A15" s="8" t="s">
        <v>85</v>
      </c>
      <c r="B15" s="9" t="s">
        <v>86</v>
      </c>
      <c r="C15" s="9">
        <f>COUNTIF(Features!$O$2:$O$79,A15)</f>
        <v>21</v>
      </c>
      <c r="D15" s="20">
        <f t="shared" si="0"/>
        <v>0.619047619047619</v>
      </c>
      <c r="E15" s="9" t="s">
        <v>87</v>
      </c>
      <c r="F15" s="9">
        <f>COUNTIFS(Features!$O$2:$O$79,A15,Features!$N$2:$N$79,"Done")</f>
        <v>13</v>
      </c>
      <c r="G15" s="9">
        <f>COUNTIFS(Features!$O$2:$O$79,A15,Features!$N$2:$N$79,"Processing")</f>
        <v>5</v>
      </c>
      <c r="H15" s="9">
        <f>COUNTIFS(Features!$O$2:$O$79,A15,Features!$N$2:$N$79,"Not Start")</f>
        <v>3</v>
      </c>
    </row>
    <row r="16" spans="1:9">
      <c r="A16" s="8" t="s">
        <v>88</v>
      </c>
      <c r="B16" s="9" t="s">
        <v>89</v>
      </c>
      <c r="C16" s="9">
        <f>COUNTIF(Features!$O$2:$O$79,A16)</f>
        <v>12</v>
      </c>
      <c r="D16" s="20">
        <f t="shared" si="0"/>
        <v>0.25</v>
      </c>
      <c r="E16" s="9" t="s">
        <v>90</v>
      </c>
      <c r="F16" s="9">
        <f>COUNTIFS(Features!$O$2:$O$79,A16,Features!$N$2:$N$79,"Done")</f>
        <v>3</v>
      </c>
      <c r="G16" s="9">
        <f>COUNTIFS(Features!$O$2:$O$79,A16,Features!$N$2:$N$79,"Processing")</f>
        <v>4</v>
      </c>
      <c r="H16" s="9">
        <f>COUNTIFS(Features!$O$2:$O$79,A16,Features!$N$2:$N$79,"Not Start")</f>
        <v>5</v>
      </c>
    </row>
    <row r="17" spans="1:8">
      <c r="A17" s="8" t="s">
        <v>91</v>
      </c>
      <c r="B17" s="9" t="s">
        <v>92</v>
      </c>
      <c r="C17" s="9">
        <f>COUNTIF(Features!$O$2:$O$79,A17)</f>
        <v>13</v>
      </c>
      <c r="D17" s="20">
        <f t="shared" si="0"/>
        <v>0.538461538461538</v>
      </c>
      <c r="E17" s="9" t="s">
        <v>93</v>
      </c>
      <c r="F17" s="9">
        <f>COUNTIFS(Features!$O$2:$O$79,A17,Features!$N$2:$N$79,"Done")</f>
        <v>7</v>
      </c>
      <c r="G17" s="9">
        <f>COUNTIFS(Features!$O$2:$O$79,A17,Features!$N$2:$N$79,"Processing")</f>
        <v>6</v>
      </c>
      <c r="H17" s="9">
        <f>COUNTIFS(Features!$O$2:$O$79,A17,Features!$N$2:$N$79,"Not Start")</f>
        <v>0</v>
      </c>
    </row>
    <row r="18" spans="1:8">
      <c r="A18" s="8" t="s">
        <v>59</v>
      </c>
      <c r="B18" s="2"/>
      <c r="C18" s="2">
        <f>SUM(C13:C17)</f>
        <v>78</v>
      </c>
      <c r="D18" s="21">
        <f t="shared" si="0"/>
        <v>0.474358974358974</v>
      </c>
      <c r="E18" s="2" t="s">
        <v>60</v>
      </c>
      <c r="F18" s="2">
        <f>SUM(F13:F17)</f>
        <v>37</v>
      </c>
      <c r="G18" s="2">
        <f>SUM(G13:G17)</f>
        <v>24</v>
      </c>
      <c r="H18" s="2">
        <f>SUM(H13:H17)</f>
        <v>17</v>
      </c>
    </row>
    <row r="19" spans="1:8">
      <c r="A19" s="7" t="str">
        <f>IF(C18=COUNTA(Features!$C$2:$C$79),"All features assigned","Unassigned features: "&amp;(COUNTA(Features!$C$2:$C$79)-C18))</f>
        <v>All features assigned</v>
      </c>
    </row>
  </sheetData>
  <conditionalFormatting sqref="D6:D8">
    <cfRule type="cellIs" dxfId="1" priority="1" operator="equal">
      <formula>"Done"</formula>
    </cfRule>
    <cfRule type="cellIs" dxfId="2" priority="2" operator="equal">
      <formula>"Processing"</formula>
    </cfRule>
    <cfRule type="cellIs" dxfId="3" priority="3" operator="equal">
      <formula>"Not Start"</formula>
    </cfRule>
  </conditionalFormatting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79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6" customWidth="1"/>
    <col min="2" max="2" width="18" customWidth="1"/>
    <col min="3" max="3" width="9" customWidth="1"/>
    <col min="4" max="4" width="10" customWidth="1"/>
    <col min="5" max="5" width="26" customWidth="1"/>
    <col min="6" max="6" width="60" customWidth="1"/>
    <col min="7" max="7" width="16" customWidth="1"/>
    <col min="8" max="8" width="44" customWidth="1"/>
    <col min="9" max="9" width="30" customWidth="1"/>
    <col min="10" max="10" width="22" customWidth="1"/>
    <col min="11" max="11" width="10" customWidth="1"/>
    <col min="12" max="12" width="11" customWidth="1"/>
    <col min="13" max="14" width="12" customWidth="1"/>
    <col min="15" max="15" width="24" customWidth="1"/>
  </cols>
  <sheetData>
    <row r="1" ht="30" customHeight="1" spans="1:15">
      <c r="A1" s="1" t="s">
        <v>94</v>
      </c>
      <c r="B1" s="1" t="s">
        <v>25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64</v>
      </c>
      <c r="M1" s="1" t="s">
        <v>66</v>
      </c>
      <c r="N1" s="1" t="s">
        <v>67</v>
      </c>
      <c r="O1" s="1" t="s">
        <v>104</v>
      </c>
    </row>
    <row r="2" ht="39.6" spans="1:15">
      <c r="A2" s="9">
        <v>1</v>
      </c>
      <c r="B2" s="10" t="s">
        <v>31</v>
      </c>
      <c r="C2" s="2" t="s">
        <v>105</v>
      </c>
      <c r="D2" s="9" t="s">
        <v>106</v>
      </c>
      <c r="E2" s="8" t="s">
        <v>107</v>
      </c>
      <c r="F2" s="3" t="s">
        <v>108</v>
      </c>
      <c r="G2" s="3" t="s">
        <v>109</v>
      </c>
      <c r="H2" s="11" t="s">
        <v>110</v>
      </c>
      <c r="I2" s="3" t="s">
        <v>111</v>
      </c>
      <c r="J2" s="3" t="s">
        <v>112</v>
      </c>
      <c r="K2" s="9" t="s">
        <v>113</v>
      </c>
      <c r="L2" s="9">
        <v>1</v>
      </c>
      <c r="M2" s="12">
        <v>46308</v>
      </c>
      <c r="N2" s="9" t="s">
        <v>28</v>
      </c>
      <c r="O2" s="13" t="s">
        <v>79</v>
      </c>
    </row>
    <row r="3" ht="39.6" spans="1:15">
      <c r="A3" s="9">
        <v>2</v>
      </c>
      <c r="B3" s="10" t="s">
        <v>31</v>
      </c>
      <c r="C3" s="2" t="s">
        <v>114</v>
      </c>
      <c r="D3" s="9" t="s">
        <v>115</v>
      </c>
      <c r="E3" s="8" t="s">
        <v>116</v>
      </c>
      <c r="F3" s="3" t="s">
        <v>117</v>
      </c>
      <c r="G3" s="3" t="s">
        <v>109</v>
      </c>
      <c r="H3" s="11" t="s">
        <v>118</v>
      </c>
      <c r="I3" s="3" t="s">
        <v>119</v>
      </c>
      <c r="J3" s="3" t="s">
        <v>120</v>
      </c>
      <c r="K3" s="9" t="s">
        <v>113</v>
      </c>
      <c r="L3" s="9">
        <v>1</v>
      </c>
      <c r="M3" s="12">
        <v>46308</v>
      </c>
      <c r="N3" s="9" t="s">
        <v>28</v>
      </c>
      <c r="O3" s="13" t="s">
        <v>79</v>
      </c>
    </row>
    <row r="4" ht="26.4" spans="1:15">
      <c r="A4" s="9">
        <v>3</v>
      </c>
      <c r="B4" s="10" t="s">
        <v>31</v>
      </c>
      <c r="C4" s="2" t="s">
        <v>121</v>
      </c>
      <c r="D4" s="9" t="s">
        <v>122</v>
      </c>
      <c r="E4" s="8" t="s">
        <v>123</v>
      </c>
      <c r="F4" s="3" t="s">
        <v>124</v>
      </c>
      <c r="G4" s="3" t="s">
        <v>36</v>
      </c>
      <c r="H4" s="11" t="s">
        <v>125</v>
      </c>
      <c r="I4" s="3" t="s">
        <v>126</v>
      </c>
      <c r="J4" s="3" t="s">
        <v>127</v>
      </c>
      <c r="K4" s="9" t="s">
        <v>113</v>
      </c>
      <c r="L4" s="9">
        <v>1</v>
      </c>
      <c r="M4" s="12">
        <v>46308</v>
      </c>
      <c r="N4" s="9" t="s">
        <v>28</v>
      </c>
      <c r="O4" s="13" t="s">
        <v>79</v>
      </c>
    </row>
    <row r="5" ht="39.6" spans="1:15">
      <c r="A5" s="9">
        <v>4</v>
      </c>
      <c r="B5" s="10" t="s">
        <v>31</v>
      </c>
      <c r="C5" s="2" t="s">
        <v>128</v>
      </c>
      <c r="D5" s="9" t="s">
        <v>129</v>
      </c>
      <c r="E5" s="8" t="s">
        <v>130</v>
      </c>
      <c r="F5" s="3" t="s">
        <v>131</v>
      </c>
      <c r="G5" s="3" t="s">
        <v>109</v>
      </c>
      <c r="H5" s="11" t="s">
        <v>132</v>
      </c>
      <c r="I5" s="3" t="s">
        <v>133</v>
      </c>
      <c r="J5" s="3" t="s">
        <v>134</v>
      </c>
      <c r="K5" s="9" t="s">
        <v>135</v>
      </c>
      <c r="L5" s="9">
        <v>1</v>
      </c>
      <c r="M5" s="12">
        <v>46308</v>
      </c>
      <c r="N5" s="9" t="s">
        <v>28</v>
      </c>
      <c r="O5" s="13" t="s">
        <v>79</v>
      </c>
    </row>
    <row r="6" ht="26.4" spans="1:15">
      <c r="A6" s="9">
        <v>5</v>
      </c>
      <c r="B6" s="10" t="s">
        <v>31</v>
      </c>
      <c r="C6" s="2" t="s">
        <v>136</v>
      </c>
      <c r="D6" s="9" t="s">
        <v>137</v>
      </c>
      <c r="E6" s="8" t="s">
        <v>138</v>
      </c>
      <c r="F6" s="3" t="s">
        <v>139</v>
      </c>
      <c r="G6" s="3" t="s">
        <v>109</v>
      </c>
      <c r="H6" s="11" t="s">
        <v>140</v>
      </c>
      <c r="I6" s="3" t="s">
        <v>141</v>
      </c>
      <c r="J6" s="3" t="s">
        <v>142</v>
      </c>
      <c r="K6" s="9" t="s">
        <v>135</v>
      </c>
      <c r="L6" s="9">
        <v>1</v>
      </c>
      <c r="M6" s="12">
        <v>46308</v>
      </c>
      <c r="N6" s="9" t="s">
        <v>28</v>
      </c>
      <c r="O6" s="13" t="s">
        <v>79</v>
      </c>
    </row>
    <row r="7" ht="39.6" spans="1:15">
      <c r="A7" s="9">
        <v>6</v>
      </c>
      <c r="B7" s="10" t="s">
        <v>34</v>
      </c>
      <c r="C7" s="2" t="s">
        <v>143</v>
      </c>
      <c r="D7" s="9" t="s">
        <v>144</v>
      </c>
      <c r="E7" s="8" t="s">
        <v>145</v>
      </c>
      <c r="F7" s="3" t="s">
        <v>146</v>
      </c>
      <c r="G7" s="3" t="s">
        <v>36</v>
      </c>
      <c r="H7" s="11" t="s">
        <v>147</v>
      </c>
      <c r="I7" s="3" t="s">
        <v>148</v>
      </c>
      <c r="J7" s="3" t="s">
        <v>149</v>
      </c>
      <c r="K7" s="9" t="s">
        <v>113</v>
      </c>
      <c r="L7" s="9">
        <v>1</v>
      </c>
      <c r="M7" s="12">
        <v>46308</v>
      </c>
      <c r="N7" s="9" t="s">
        <v>28</v>
      </c>
      <c r="O7" s="13" t="s">
        <v>79</v>
      </c>
    </row>
    <row r="8" ht="26.4" spans="1:15">
      <c r="A8" s="9">
        <v>7</v>
      </c>
      <c r="B8" s="10" t="s">
        <v>34</v>
      </c>
      <c r="C8" s="2" t="s">
        <v>150</v>
      </c>
      <c r="D8" s="9" t="s">
        <v>151</v>
      </c>
      <c r="E8" s="8" t="s">
        <v>152</v>
      </c>
      <c r="F8" s="3" t="s">
        <v>153</v>
      </c>
      <c r="G8" s="3" t="s">
        <v>36</v>
      </c>
      <c r="H8" s="11" t="s">
        <v>154</v>
      </c>
      <c r="I8" s="3" t="s">
        <v>126</v>
      </c>
      <c r="J8" s="3" t="s">
        <v>155</v>
      </c>
      <c r="K8" s="9" t="s">
        <v>113</v>
      </c>
      <c r="L8" s="9">
        <v>1</v>
      </c>
      <c r="M8" s="12">
        <v>46308</v>
      </c>
      <c r="N8" s="9" t="s">
        <v>28</v>
      </c>
      <c r="O8" s="13" t="s">
        <v>79</v>
      </c>
    </row>
    <row r="9" ht="26.4" spans="1:15">
      <c r="A9" s="9">
        <v>8</v>
      </c>
      <c r="B9" s="10" t="s">
        <v>34</v>
      </c>
      <c r="C9" s="2" t="s">
        <v>156</v>
      </c>
      <c r="D9" s="9" t="s">
        <v>157</v>
      </c>
      <c r="E9" s="8" t="s">
        <v>158</v>
      </c>
      <c r="F9" s="3" t="s">
        <v>159</v>
      </c>
      <c r="G9" s="3" t="s">
        <v>36</v>
      </c>
      <c r="H9" s="11" t="s">
        <v>160</v>
      </c>
      <c r="I9" s="3" t="s">
        <v>161</v>
      </c>
      <c r="J9" s="3" t="s">
        <v>162</v>
      </c>
      <c r="K9" s="9" t="s">
        <v>113</v>
      </c>
      <c r="L9" s="9">
        <v>1</v>
      </c>
      <c r="M9" s="12">
        <v>46308</v>
      </c>
      <c r="N9" s="9" t="s">
        <v>28</v>
      </c>
      <c r="O9" s="13" t="s">
        <v>79</v>
      </c>
    </row>
    <row r="10" ht="26.4" spans="1:15">
      <c r="A10" s="9">
        <v>9</v>
      </c>
      <c r="B10" s="10" t="s">
        <v>34</v>
      </c>
      <c r="C10" s="2" t="s">
        <v>163</v>
      </c>
      <c r="D10" s="9" t="s">
        <v>164</v>
      </c>
      <c r="E10" s="8" t="s">
        <v>165</v>
      </c>
      <c r="F10" s="3" t="s">
        <v>166</v>
      </c>
      <c r="G10" s="3" t="s">
        <v>44</v>
      </c>
      <c r="H10" s="11" t="s">
        <v>167</v>
      </c>
      <c r="I10" s="3" t="s">
        <v>168</v>
      </c>
      <c r="J10" s="3" t="s">
        <v>169</v>
      </c>
      <c r="K10" s="9" t="s">
        <v>113</v>
      </c>
      <c r="L10" s="9">
        <v>1</v>
      </c>
      <c r="M10" s="12">
        <v>46308</v>
      </c>
      <c r="N10" s="9" t="s">
        <v>28</v>
      </c>
      <c r="O10" s="13" t="s">
        <v>79</v>
      </c>
    </row>
    <row r="11" ht="26.4" spans="1:15">
      <c r="A11" s="9">
        <v>10</v>
      </c>
      <c r="B11" s="10" t="s">
        <v>34</v>
      </c>
      <c r="C11" s="2" t="s">
        <v>170</v>
      </c>
      <c r="D11" s="9" t="s">
        <v>171</v>
      </c>
      <c r="E11" s="8" t="s">
        <v>172</v>
      </c>
      <c r="F11" s="3" t="s">
        <v>173</v>
      </c>
      <c r="G11" s="3" t="s">
        <v>44</v>
      </c>
      <c r="H11" s="11" t="s">
        <v>174</v>
      </c>
      <c r="I11" s="3" t="s">
        <v>168</v>
      </c>
      <c r="J11" s="3" t="s">
        <v>175</v>
      </c>
      <c r="K11" s="9" t="s">
        <v>113</v>
      </c>
      <c r="L11" s="9">
        <v>2</v>
      </c>
      <c r="M11" s="12">
        <v>46316</v>
      </c>
      <c r="N11" s="9" t="s">
        <v>68</v>
      </c>
      <c r="O11" s="13" t="s">
        <v>79</v>
      </c>
    </row>
    <row r="12" ht="26.4" spans="1:15">
      <c r="A12" s="9">
        <v>11</v>
      </c>
      <c r="B12" s="10" t="s">
        <v>34</v>
      </c>
      <c r="C12" s="2" t="s">
        <v>176</v>
      </c>
      <c r="D12" s="9" t="s">
        <v>177</v>
      </c>
      <c r="E12" s="8" t="s">
        <v>178</v>
      </c>
      <c r="F12" s="3" t="s">
        <v>179</v>
      </c>
      <c r="G12" s="3" t="s">
        <v>44</v>
      </c>
      <c r="H12" s="11" t="s">
        <v>180</v>
      </c>
      <c r="I12" s="3" t="s">
        <v>168</v>
      </c>
      <c r="J12" s="3" t="s">
        <v>181</v>
      </c>
      <c r="K12" s="9" t="s">
        <v>113</v>
      </c>
      <c r="L12" s="9">
        <v>2</v>
      </c>
      <c r="M12" s="12">
        <v>46316</v>
      </c>
      <c r="N12" s="9" t="s">
        <v>68</v>
      </c>
      <c r="O12" s="13" t="s">
        <v>79</v>
      </c>
    </row>
    <row r="13" ht="26.4" spans="1:15">
      <c r="A13" s="9">
        <v>12</v>
      </c>
      <c r="B13" s="10" t="s">
        <v>34</v>
      </c>
      <c r="C13" s="2" t="s">
        <v>182</v>
      </c>
      <c r="D13" s="9" t="s">
        <v>183</v>
      </c>
      <c r="E13" s="8" t="s">
        <v>184</v>
      </c>
      <c r="F13" s="3" t="s">
        <v>185</v>
      </c>
      <c r="G13" s="3" t="s">
        <v>44</v>
      </c>
      <c r="H13" s="11" t="s">
        <v>186</v>
      </c>
      <c r="I13" s="3" t="s">
        <v>168</v>
      </c>
      <c r="J13" s="3" t="s">
        <v>181</v>
      </c>
      <c r="K13" s="9" t="s">
        <v>113</v>
      </c>
      <c r="L13" s="9">
        <v>2</v>
      </c>
      <c r="M13" s="12">
        <v>46316</v>
      </c>
      <c r="N13" s="9" t="s">
        <v>68</v>
      </c>
      <c r="O13" s="13" t="s">
        <v>79</v>
      </c>
    </row>
    <row r="14" ht="26.4" spans="1:15">
      <c r="A14" s="9">
        <v>13</v>
      </c>
      <c r="B14" s="10" t="s">
        <v>34</v>
      </c>
      <c r="C14" s="2" t="s">
        <v>187</v>
      </c>
      <c r="D14" s="9" t="s">
        <v>188</v>
      </c>
      <c r="E14" s="8" t="s">
        <v>189</v>
      </c>
      <c r="F14" s="3" t="s">
        <v>190</v>
      </c>
      <c r="G14" s="3" t="s">
        <v>58</v>
      </c>
      <c r="H14" s="11" t="s">
        <v>191</v>
      </c>
      <c r="I14" s="3" t="s">
        <v>192</v>
      </c>
      <c r="J14" s="3" t="s">
        <v>193</v>
      </c>
      <c r="K14" s="9" t="s">
        <v>135</v>
      </c>
      <c r="L14" s="9">
        <v>3</v>
      </c>
      <c r="M14" s="12">
        <v>46322</v>
      </c>
      <c r="N14" s="9" t="s">
        <v>69</v>
      </c>
      <c r="O14" s="13" t="s">
        <v>79</v>
      </c>
    </row>
    <row r="15" ht="26.4" spans="1:15">
      <c r="A15" s="9">
        <v>14</v>
      </c>
      <c r="B15" s="10" t="s">
        <v>34</v>
      </c>
      <c r="C15" s="2" t="s">
        <v>194</v>
      </c>
      <c r="D15" s="9" t="s">
        <v>195</v>
      </c>
      <c r="E15" s="8" t="s">
        <v>196</v>
      </c>
      <c r="F15" s="3" t="s">
        <v>197</v>
      </c>
      <c r="G15" s="3" t="s">
        <v>58</v>
      </c>
      <c r="H15" s="11" t="s">
        <v>198</v>
      </c>
      <c r="I15" s="3" t="s">
        <v>192</v>
      </c>
      <c r="J15" s="3" t="s">
        <v>199</v>
      </c>
      <c r="K15" s="9" t="s">
        <v>113</v>
      </c>
      <c r="L15" s="9">
        <v>3</v>
      </c>
      <c r="M15" s="12">
        <v>46322</v>
      </c>
      <c r="N15" s="9" t="s">
        <v>69</v>
      </c>
      <c r="O15" s="13" t="s">
        <v>79</v>
      </c>
    </row>
    <row r="16" ht="26.4" spans="1:15">
      <c r="A16" s="9">
        <v>15</v>
      </c>
      <c r="B16" s="10" t="s">
        <v>34</v>
      </c>
      <c r="C16" s="2" t="s">
        <v>200</v>
      </c>
      <c r="D16" s="9" t="s">
        <v>201</v>
      </c>
      <c r="E16" s="8" t="s">
        <v>202</v>
      </c>
      <c r="F16" s="3" t="s">
        <v>203</v>
      </c>
      <c r="G16" s="3" t="s">
        <v>58</v>
      </c>
      <c r="H16" s="11" t="s">
        <v>204</v>
      </c>
      <c r="I16" s="3" t="s">
        <v>192</v>
      </c>
      <c r="J16" s="3" t="s">
        <v>205</v>
      </c>
      <c r="K16" s="9" t="s">
        <v>135</v>
      </c>
      <c r="L16" s="9">
        <v>3</v>
      </c>
      <c r="M16" s="12">
        <v>46322</v>
      </c>
      <c r="N16" s="9" t="s">
        <v>69</v>
      </c>
      <c r="O16" s="13" t="s">
        <v>79</v>
      </c>
    </row>
    <row r="17" ht="26.4" spans="1:15">
      <c r="A17" s="9">
        <v>16</v>
      </c>
      <c r="B17" s="10" t="s">
        <v>34</v>
      </c>
      <c r="C17" s="2" t="s">
        <v>206</v>
      </c>
      <c r="D17" s="9" t="s">
        <v>207</v>
      </c>
      <c r="E17" s="8" t="s">
        <v>208</v>
      </c>
      <c r="F17" s="3" t="s">
        <v>209</v>
      </c>
      <c r="G17" s="3" t="s">
        <v>58</v>
      </c>
      <c r="H17" s="11" t="s">
        <v>210</v>
      </c>
      <c r="I17" s="3" t="s">
        <v>192</v>
      </c>
      <c r="J17" s="3" t="s">
        <v>211</v>
      </c>
      <c r="K17" s="9" t="s">
        <v>113</v>
      </c>
      <c r="L17" s="9">
        <v>3</v>
      </c>
      <c r="M17" s="12">
        <v>46322</v>
      </c>
      <c r="N17" s="9" t="s">
        <v>69</v>
      </c>
      <c r="O17" s="13" t="s">
        <v>79</v>
      </c>
    </row>
    <row r="18" ht="26.4" spans="1:15">
      <c r="A18" s="9">
        <v>17</v>
      </c>
      <c r="B18" s="10" t="s">
        <v>34</v>
      </c>
      <c r="C18" s="2" t="s">
        <v>212</v>
      </c>
      <c r="D18" s="9" t="s">
        <v>213</v>
      </c>
      <c r="E18" s="8" t="s">
        <v>214</v>
      </c>
      <c r="F18" s="3" t="s">
        <v>215</v>
      </c>
      <c r="G18" s="3" t="s">
        <v>58</v>
      </c>
      <c r="H18" s="11" t="s">
        <v>216</v>
      </c>
      <c r="I18" s="3" t="s">
        <v>192</v>
      </c>
      <c r="J18" s="3" t="s">
        <v>217</v>
      </c>
      <c r="K18" s="9" t="s">
        <v>113</v>
      </c>
      <c r="L18" s="9">
        <v>3</v>
      </c>
      <c r="M18" s="12">
        <v>46322</v>
      </c>
      <c r="N18" s="9" t="s">
        <v>69</v>
      </c>
      <c r="O18" s="13" t="s">
        <v>79</v>
      </c>
    </row>
    <row r="19" ht="26.4" spans="1:15">
      <c r="A19" s="9">
        <v>18</v>
      </c>
      <c r="B19" s="10" t="s">
        <v>37</v>
      </c>
      <c r="C19" s="2" t="s">
        <v>218</v>
      </c>
      <c r="D19" s="9" t="s">
        <v>219</v>
      </c>
      <c r="E19" s="8" t="s">
        <v>220</v>
      </c>
      <c r="F19" s="3" t="s">
        <v>221</v>
      </c>
      <c r="G19" s="3" t="s">
        <v>41</v>
      </c>
      <c r="H19" s="11" t="s">
        <v>222</v>
      </c>
      <c r="I19" s="3" t="s">
        <v>223</v>
      </c>
      <c r="J19" s="3" t="s">
        <v>224</v>
      </c>
      <c r="K19" s="9" t="s">
        <v>113</v>
      </c>
      <c r="L19" s="9">
        <v>1</v>
      </c>
      <c r="M19" s="12">
        <v>46308</v>
      </c>
      <c r="N19" s="9" t="s">
        <v>28</v>
      </c>
      <c r="O19" s="13" t="s">
        <v>85</v>
      </c>
    </row>
    <row r="20" ht="26.4" spans="1:15">
      <c r="A20" s="9">
        <v>19</v>
      </c>
      <c r="B20" s="10" t="s">
        <v>37</v>
      </c>
      <c r="C20" s="2" t="s">
        <v>225</v>
      </c>
      <c r="D20" s="9" t="s">
        <v>226</v>
      </c>
      <c r="E20" s="8" t="s">
        <v>227</v>
      </c>
      <c r="F20" s="3" t="s">
        <v>228</v>
      </c>
      <c r="G20" s="3" t="s">
        <v>41</v>
      </c>
      <c r="H20" s="11" t="s">
        <v>229</v>
      </c>
      <c r="I20" s="3" t="s">
        <v>223</v>
      </c>
      <c r="J20" s="3" t="s">
        <v>230</v>
      </c>
      <c r="K20" s="9" t="s">
        <v>113</v>
      </c>
      <c r="L20" s="9">
        <v>1</v>
      </c>
      <c r="M20" s="12">
        <v>46308</v>
      </c>
      <c r="N20" s="9" t="s">
        <v>28</v>
      </c>
      <c r="O20" s="13" t="s">
        <v>85</v>
      </c>
    </row>
    <row r="21" ht="26.4" spans="1:15">
      <c r="A21" s="9">
        <v>20</v>
      </c>
      <c r="B21" s="10" t="s">
        <v>37</v>
      </c>
      <c r="C21" s="2" t="s">
        <v>231</v>
      </c>
      <c r="D21" s="9" t="s">
        <v>232</v>
      </c>
      <c r="E21" s="8" t="s">
        <v>233</v>
      </c>
      <c r="F21" s="3" t="s">
        <v>234</v>
      </c>
      <c r="G21" s="3" t="s">
        <v>41</v>
      </c>
      <c r="H21" s="11" t="s">
        <v>235</v>
      </c>
      <c r="I21" s="3" t="s">
        <v>223</v>
      </c>
      <c r="J21" s="3" t="s">
        <v>236</v>
      </c>
      <c r="K21" s="9" t="s">
        <v>113</v>
      </c>
      <c r="L21" s="9">
        <v>1</v>
      </c>
      <c r="M21" s="12">
        <v>46308</v>
      </c>
      <c r="N21" s="9" t="s">
        <v>28</v>
      </c>
      <c r="O21" s="13" t="s">
        <v>85</v>
      </c>
    </row>
    <row r="22" ht="26.4" spans="1:15">
      <c r="A22" s="9">
        <v>21</v>
      </c>
      <c r="B22" s="10" t="s">
        <v>37</v>
      </c>
      <c r="C22" s="2" t="s">
        <v>237</v>
      </c>
      <c r="D22" s="9" t="s">
        <v>238</v>
      </c>
      <c r="E22" s="8" t="s">
        <v>239</v>
      </c>
      <c r="F22" s="3" t="s">
        <v>240</v>
      </c>
      <c r="G22" s="3" t="s">
        <v>41</v>
      </c>
      <c r="H22" s="11" t="s">
        <v>241</v>
      </c>
      <c r="I22" s="3" t="s">
        <v>223</v>
      </c>
      <c r="J22" s="3" t="s">
        <v>242</v>
      </c>
      <c r="K22" s="9" t="s">
        <v>113</v>
      </c>
      <c r="L22" s="9">
        <v>1</v>
      </c>
      <c r="M22" s="12">
        <v>46308</v>
      </c>
      <c r="N22" s="9" t="s">
        <v>28</v>
      </c>
      <c r="O22" s="13" t="s">
        <v>85</v>
      </c>
    </row>
    <row r="23" ht="26.4" spans="1:15">
      <c r="A23" s="9">
        <v>22</v>
      </c>
      <c r="B23" s="10" t="s">
        <v>37</v>
      </c>
      <c r="C23" s="2" t="s">
        <v>243</v>
      </c>
      <c r="D23" s="9" t="s">
        <v>244</v>
      </c>
      <c r="E23" s="8" t="s">
        <v>245</v>
      </c>
      <c r="F23" s="3" t="s">
        <v>246</v>
      </c>
      <c r="G23" s="3" t="s">
        <v>41</v>
      </c>
      <c r="H23" s="11" t="s">
        <v>247</v>
      </c>
      <c r="I23" s="3" t="s">
        <v>223</v>
      </c>
      <c r="J23" s="3" t="s">
        <v>236</v>
      </c>
      <c r="K23" s="9" t="s">
        <v>135</v>
      </c>
      <c r="L23" s="9">
        <v>1</v>
      </c>
      <c r="M23" s="12">
        <v>46308</v>
      </c>
      <c r="N23" s="9" t="s">
        <v>28</v>
      </c>
      <c r="O23" s="13" t="s">
        <v>85</v>
      </c>
    </row>
    <row r="24" ht="26.4" spans="1:15">
      <c r="A24" s="9">
        <v>23</v>
      </c>
      <c r="B24" s="10" t="s">
        <v>37</v>
      </c>
      <c r="C24" s="2" t="s">
        <v>248</v>
      </c>
      <c r="D24" s="9" t="s">
        <v>249</v>
      </c>
      <c r="E24" s="8" t="s">
        <v>250</v>
      </c>
      <c r="F24" s="3" t="s">
        <v>251</v>
      </c>
      <c r="G24" s="3" t="s">
        <v>41</v>
      </c>
      <c r="H24" s="11" t="s">
        <v>252</v>
      </c>
      <c r="I24" s="3" t="s">
        <v>223</v>
      </c>
      <c r="J24" s="3" t="s">
        <v>253</v>
      </c>
      <c r="K24" s="9" t="s">
        <v>135</v>
      </c>
      <c r="L24" s="9">
        <v>1</v>
      </c>
      <c r="M24" s="12">
        <v>46308</v>
      </c>
      <c r="N24" s="9" t="s">
        <v>28</v>
      </c>
      <c r="O24" s="13" t="s">
        <v>85</v>
      </c>
    </row>
    <row r="25" ht="26.4" spans="1:15">
      <c r="A25" s="9">
        <v>24</v>
      </c>
      <c r="B25" s="10" t="s">
        <v>37</v>
      </c>
      <c r="C25" s="2" t="s">
        <v>254</v>
      </c>
      <c r="D25" s="9" t="s">
        <v>255</v>
      </c>
      <c r="E25" s="8" t="s">
        <v>256</v>
      </c>
      <c r="F25" s="3" t="s">
        <v>257</v>
      </c>
      <c r="G25" s="3" t="s">
        <v>41</v>
      </c>
      <c r="H25" s="11" t="s">
        <v>258</v>
      </c>
      <c r="I25" s="3" t="s">
        <v>223</v>
      </c>
      <c r="J25" s="3" t="s">
        <v>236</v>
      </c>
      <c r="K25" s="9" t="s">
        <v>135</v>
      </c>
      <c r="L25" s="9">
        <v>1</v>
      </c>
      <c r="M25" s="12">
        <v>46308</v>
      </c>
      <c r="N25" s="9" t="s">
        <v>28</v>
      </c>
      <c r="O25" s="13" t="s">
        <v>85</v>
      </c>
    </row>
    <row r="26" ht="26.4" spans="1:15">
      <c r="A26" s="9">
        <v>25</v>
      </c>
      <c r="B26" s="10" t="s">
        <v>37</v>
      </c>
      <c r="C26" s="2" t="s">
        <v>259</v>
      </c>
      <c r="D26" s="9" t="s">
        <v>260</v>
      </c>
      <c r="E26" s="8" t="s">
        <v>261</v>
      </c>
      <c r="F26" s="3" t="s">
        <v>262</v>
      </c>
      <c r="G26" s="3" t="s">
        <v>41</v>
      </c>
      <c r="H26" s="11" t="s">
        <v>263</v>
      </c>
      <c r="I26" s="3" t="s">
        <v>223</v>
      </c>
      <c r="J26" s="3" t="s">
        <v>242</v>
      </c>
      <c r="K26" s="9" t="s">
        <v>135</v>
      </c>
      <c r="L26" s="9">
        <v>1</v>
      </c>
      <c r="M26" s="12">
        <v>46308</v>
      </c>
      <c r="N26" s="9" t="s">
        <v>28</v>
      </c>
      <c r="O26" s="13" t="s">
        <v>85</v>
      </c>
    </row>
    <row r="27" ht="26.4" spans="1:15">
      <c r="A27" s="9">
        <v>26</v>
      </c>
      <c r="B27" s="10" t="s">
        <v>37</v>
      </c>
      <c r="C27" s="2" t="s">
        <v>264</v>
      </c>
      <c r="D27" s="9" t="s">
        <v>265</v>
      </c>
      <c r="E27" s="8" t="s">
        <v>266</v>
      </c>
      <c r="F27" s="3" t="s">
        <v>267</v>
      </c>
      <c r="G27" s="3" t="s">
        <v>41</v>
      </c>
      <c r="H27" s="11" t="s">
        <v>268</v>
      </c>
      <c r="I27" s="3" t="s">
        <v>223</v>
      </c>
      <c r="J27" s="3" t="s">
        <v>269</v>
      </c>
      <c r="K27" s="9" t="s">
        <v>113</v>
      </c>
      <c r="L27" s="9">
        <v>1</v>
      </c>
      <c r="M27" s="12">
        <v>46308</v>
      </c>
      <c r="N27" s="9" t="s">
        <v>28</v>
      </c>
      <c r="O27" s="13" t="s">
        <v>82</v>
      </c>
    </row>
    <row r="28" ht="26.4" spans="1:15">
      <c r="A28" s="9">
        <v>27</v>
      </c>
      <c r="B28" s="10" t="s">
        <v>37</v>
      </c>
      <c r="C28" s="2" t="s">
        <v>270</v>
      </c>
      <c r="D28" s="9" t="s">
        <v>271</v>
      </c>
      <c r="E28" s="8" t="s">
        <v>272</v>
      </c>
      <c r="F28" s="3" t="s">
        <v>273</v>
      </c>
      <c r="G28" s="3" t="s">
        <v>41</v>
      </c>
      <c r="H28" s="11" t="s">
        <v>274</v>
      </c>
      <c r="I28" s="3" t="s">
        <v>223</v>
      </c>
      <c r="J28" s="3" t="s">
        <v>275</v>
      </c>
      <c r="K28" s="9" t="s">
        <v>113</v>
      </c>
      <c r="L28" s="9">
        <v>1</v>
      </c>
      <c r="M28" s="12">
        <v>46308</v>
      </c>
      <c r="N28" s="9" t="s">
        <v>28</v>
      </c>
      <c r="O28" s="13" t="s">
        <v>82</v>
      </c>
    </row>
    <row r="29" ht="26.4" spans="1:15">
      <c r="A29" s="9">
        <v>28</v>
      </c>
      <c r="B29" s="10" t="s">
        <v>37</v>
      </c>
      <c r="C29" s="2" t="s">
        <v>276</v>
      </c>
      <c r="D29" s="9" t="s">
        <v>277</v>
      </c>
      <c r="E29" s="8" t="s">
        <v>278</v>
      </c>
      <c r="F29" s="3" t="s">
        <v>279</v>
      </c>
      <c r="G29" s="3" t="s">
        <v>41</v>
      </c>
      <c r="H29" s="11" t="s">
        <v>280</v>
      </c>
      <c r="I29" s="3" t="s">
        <v>223</v>
      </c>
      <c r="J29" s="3" t="s">
        <v>281</v>
      </c>
      <c r="K29" s="9" t="s">
        <v>113</v>
      </c>
      <c r="L29" s="9">
        <v>1</v>
      </c>
      <c r="M29" s="12">
        <v>46308</v>
      </c>
      <c r="N29" s="9" t="s">
        <v>28</v>
      </c>
      <c r="O29" s="13" t="s">
        <v>82</v>
      </c>
    </row>
    <row r="30" ht="26.4" spans="1:15">
      <c r="A30" s="9">
        <v>29</v>
      </c>
      <c r="B30" s="10" t="s">
        <v>37</v>
      </c>
      <c r="C30" s="2" t="s">
        <v>282</v>
      </c>
      <c r="D30" s="9" t="s">
        <v>283</v>
      </c>
      <c r="E30" s="8" t="s">
        <v>284</v>
      </c>
      <c r="F30" s="3" t="s">
        <v>285</v>
      </c>
      <c r="G30" s="3" t="s">
        <v>41</v>
      </c>
      <c r="H30" s="11" t="s">
        <v>286</v>
      </c>
      <c r="I30" s="3" t="s">
        <v>223</v>
      </c>
      <c r="J30" s="3" t="s">
        <v>287</v>
      </c>
      <c r="K30" s="9" t="s">
        <v>113</v>
      </c>
      <c r="L30" s="9">
        <v>1</v>
      </c>
      <c r="M30" s="12">
        <v>46308</v>
      </c>
      <c r="N30" s="9" t="s">
        <v>28</v>
      </c>
      <c r="O30" s="13" t="s">
        <v>82</v>
      </c>
    </row>
    <row r="31" ht="26.4" spans="1:15">
      <c r="A31" s="9">
        <v>30</v>
      </c>
      <c r="B31" s="10" t="s">
        <v>37</v>
      </c>
      <c r="C31" s="2" t="s">
        <v>288</v>
      </c>
      <c r="D31" s="9" t="s">
        <v>289</v>
      </c>
      <c r="E31" s="8" t="s">
        <v>290</v>
      </c>
      <c r="F31" s="3" t="s">
        <v>291</v>
      </c>
      <c r="G31" s="3" t="s">
        <v>41</v>
      </c>
      <c r="H31" s="11" t="s">
        <v>292</v>
      </c>
      <c r="I31" s="3" t="s">
        <v>223</v>
      </c>
      <c r="J31" s="3" t="s">
        <v>293</v>
      </c>
      <c r="K31" s="9" t="s">
        <v>113</v>
      </c>
      <c r="L31" s="9">
        <v>1</v>
      </c>
      <c r="M31" s="12">
        <v>46308</v>
      </c>
      <c r="N31" s="9" t="s">
        <v>28</v>
      </c>
      <c r="O31" s="13" t="s">
        <v>82</v>
      </c>
    </row>
    <row r="32" ht="26.4" spans="1:15">
      <c r="A32" s="9">
        <v>31</v>
      </c>
      <c r="B32" s="10" t="s">
        <v>37</v>
      </c>
      <c r="C32" s="2" t="s">
        <v>294</v>
      </c>
      <c r="D32" s="9" t="s">
        <v>295</v>
      </c>
      <c r="E32" s="8" t="s">
        <v>296</v>
      </c>
      <c r="F32" s="3" t="s">
        <v>297</v>
      </c>
      <c r="G32" s="3" t="s">
        <v>41</v>
      </c>
      <c r="H32" s="11" t="s">
        <v>298</v>
      </c>
      <c r="I32" s="3" t="s">
        <v>223</v>
      </c>
      <c r="J32" s="3" t="s">
        <v>299</v>
      </c>
      <c r="K32" s="9" t="s">
        <v>113</v>
      </c>
      <c r="L32" s="9">
        <v>2</v>
      </c>
      <c r="M32" s="12">
        <v>46316</v>
      </c>
      <c r="N32" s="9" t="s">
        <v>68</v>
      </c>
      <c r="O32" s="13" t="s">
        <v>82</v>
      </c>
    </row>
    <row r="33" ht="26.4" spans="1:15">
      <c r="A33" s="9">
        <v>32</v>
      </c>
      <c r="B33" s="10" t="s">
        <v>37</v>
      </c>
      <c r="C33" s="2" t="s">
        <v>300</v>
      </c>
      <c r="D33" s="9" t="s">
        <v>301</v>
      </c>
      <c r="E33" s="8" t="s">
        <v>302</v>
      </c>
      <c r="F33" s="3" t="s">
        <v>303</v>
      </c>
      <c r="G33" s="3" t="s">
        <v>41</v>
      </c>
      <c r="H33" s="11" t="s">
        <v>304</v>
      </c>
      <c r="I33" s="3" t="s">
        <v>223</v>
      </c>
      <c r="J33" s="3" t="s">
        <v>305</v>
      </c>
      <c r="K33" s="9" t="s">
        <v>113</v>
      </c>
      <c r="L33" s="9">
        <v>2</v>
      </c>
      <c r="M33" s="12">
        <v>46316</v>
      </c>
      <c r="N33" s="9" t="s">
        <v>68</v>
      </c>
      <c r="O33" s="13" t="s">
        <v>82</v>
      </c>
    </row>
    <row r="34" ht="26.4" spans="1:15">
      <c r="A34" s="9">
        <v>33</v>
      </c>
      <c r="B34" s="10" t="s">
        <v>37</v>
      </c>
      <c r="C34" s="2" t="s">
        <v>306</v>
      </c>
      <c r="D34" s="9" t="s">
        <v>307</v>
      </c>
      <c r="E34" s="8" t="s">
        <v>308</v>
      </c>
      <c r="F34" s="3" t="s">
        <v>309</v>
      </c>
      <c r="G34" s="3" t="s">
        <v>41</v>
      </c>
      <c r="H34" s="11" t="s">
        <v>310</v>
      </c>
      <c r="I34" s="3" t="s">
        <v>223</v>
      </c>
      <c r="J34" s="3" t="s">
        <v>311</v>
      </c>
      <c r="K34" s="9" t="s">
        <v>113</v>
      </c>
      <c r="L34" s="9">
        <v>2</v>
      </c>
      <c r="M34" s="12">
        <v>46316</v>
      </c>
      <c r="N34" s="9" t="s">
        <v>68</v>
      </c>
      <c r="O34" s="13" t="s">
        <v>82</v>
      </c>
    </row>
    <row r="35" ht="26.4" spans="1:15">
      <c r="A35" s="9">
        <v>34</v>
      </c>
      <c r="B35" s="10" t="s">
        <v>37</v>
      </c>
      <c r="C35" s="2" t="s">
        <v>312</v>
      </c>
      <c r="D35" s="9" t="s">
        <v>313</v>
      </c>
      <c r="E35" s="8" t="s">
        <v>314</v>
      </c>
      <c r="F35" s="3" t="s">
        <v>315</v>
      </c>
      <c r="G35" s="3" t="s">
        <v>41</v>
      </c>
      <c r="H35" s="11" t="s">
        <v>316</v>
      </c>
      <c r="I35" s="3" t="s">
        <v>223</v>
      </c>
      <c r="J35" s="3" t="s">
        <v>317</v>
      </c>
      <c r="K35" s="9" t="s">
        <v>113</v>
      </c>
      <c r="L35" s="9">
        <v>3</v>
      </c>
      <c r="M35" s="12">
        <v>46322</v>
      </c>
      <c r="N35" s="9" t="s">
        <v>69</v>
      </c>
      <c r="O35" s="13" t="s">
        <v>82</v>
      </c>
    </row>
    <row r="36" ht="26.4" spans="1:15">
      <c r="A36" s="9">
        <v>35</v>
      </c>
      <c r="B36" s="10" t="s">
        <v>37</v>
      </c>
      <c r="C36" s="2" t="s">
        <v>318</v>
      </c>
      <c r="D36" s="9" t="s">
        <v>319</v>
      </c>
      <c r="E36" s="8" t="s">
        <v>320</v>
      </c>
      <c r="F36" s="3" t="s">
        <v>321</v>
      </c>
      <c r="G36" s="3" t="s">
        <v>41</v>
      </c>
      <c r="H36" s="11" t="s">
        <v>322</v>
      </c>
      <c r="I36" s="3" t="s">
        <v>223</v>
      </c>
      <c r="J36" s="3" t="s">
        <v>323</v>
      </c>
      <c r="K36" s="9" t="s">
        <v>113</v>
      </c>
      <c r="L36" s="9">
        <v>3</v>
      </c>
      <c r="M36" s="12">
        <v>46322</v>
      </c>
      <c r="N36" s="9" t="s">
        <v>69</v>
      </c>
      <c r="O36" s="13" t="s">
        <v>82</v>
      </c>
    </row>
    <row r="37" ht="26.4" spans="1:15">
      <c r="A37" s="9">
        <v>36</v>
      </c>
      <c r="B37" s="10" t="s">
        <v>37</v>
      </c>
      <c r="C37" s="2" t="s">
        <v>324</v>
      </c>
      <c r="D37" s="9" t="s">
        <v>325</v>
      </c>
      <c r="E37" s="8" t="s">
        <v>326</v>
      </c>
      <c r="F37" s="3" t="s">
        <v>327</v>
      </c>
      <c r="G37" s="3" t="s">
        <v>41</v>
      </c>
      <c r="H37" s="11" t="s">
        <v>328</v>
      </c>
      <c r="I37" s="3" t="s">
        <v>223</v>
      </c>
      <c r="J37" s="3" t="s">
        <v>317</v>
      </c>
      <c r="K37" s="9" t="s">
        <v>135</v>
      </c>
      <c r="L37" s="9">
        <v>3</v>
      </c>
      <c r="M37" s="12">
        <v>46322</v>
      </c>
      <c r="N37" s="9" t="s">
        <v>69</v>
      </c>
      <c r="O37" s="13" t="s">
        <v>82</v>
      </c>
    </row>
    <row r="38" ht="26.4" spans="1:15">
      <c r="A38" s="9">
        <v>37</v>
      </c>
      <c r="B38" s="10" t="s">
        <v>37</v>
      </c>
      <c r="C38" s="2" t="s">
        <v>329</v>
      </c>
      <c r="D38" s="9" t="s">
        <v>330</v>
      </c>
      <c r="E38" s="8" t="s">
        <v>331</v>
      </c>
      <c r="F38" s="3" t="s">
        <v>332</v>
      </c>
      <c r="G38" s="3" t="s">
        <v>41</v>
      </c>
      <c r="H38" s="11" t="s">
        <v>333</v>
      </c>
      <c r="I38" s="3" t="s">
        <v>223</v>
      </c>
      <c r="J38" s="3" t="s">
        <v>323</v>
      </c>
      <c r="K38" s="9" t="s">
        <v>113</v>
      </c>
      <c r="L38" s="9">
        <v>3</v>
      </c>
      <c r="M38" s="12">
        <v>46322</v>
      </c>
      <c r="N38" s="9" t="s">
        <v>69</v>
      </c>
      <c r="O38" s="13" t="s">
        <v>82</v>
      </c>
    </row>
    <row r="39" ht="26.4" spans="1:15">
      <c r="A39" s="9">
        <v>38</v>
      </c>
      <c r="B39" s="10" t="s">
        <v>37</v>
      </c>
      <c r="C39" s="2" t="s">
        <v>334</v>
      </c>
      <c r="D39" s="9" t="s">
        <v>335</v>
      </c>
      <c r="E39" s="8" t="s">
        <v>336</v>
      </c>
      <c r="F39" s="3" t="s">
        <v>337</v>
      </c>
      <c r="G39" s="3" t="s">
        <v>338</v>
      </c>
      <c r="H39" s="11" t="s">
        <v>339</v>
      </c>
      <c r="I39" s="3" t="s">
        <v>340</v>
      </c>
      <c r="J39" s="3" t="s">
        <v>275</v>
      </c>
      <c r="K39" s="9" t="s">
        <v>113</v>
      </c>
      <c r="L39" s="9">
        <v>1</v>
      </c>
      <c r="M39" s="12">
        <v>46308</v>
      </c>
      <c r="N39" s="9" t="s">
        <v>28</v>
      </c>
      <c r="O39" s="13" t="s">
        <v>91</v>
      </c>
    </row>
    <row r="40" ht="26.4" spans="1:15">
      <c r="A40" s="9">
        <v>39</v>
      </c>
      <c r="B40" s="10" t="s">
        <v>37</v>
      </c>
      <c r="C40" s="2" t="s">
        <v>341</v>
      </c>
      <c r="D40" s="9" t="s">
        <v>342</v>
      </c>
      <c r="E40" s="8" t="s">
        <v>343</v>
      </c>
      <c r="F40" s="3" t="s">
        <v>344</v>
      </c>
      <c r="G40" s="3" t="s">
        <v>338</v>
      </c>
      <c r="H40" s="11" t="s">
        <v>345</v>
      </c>
      <c r="I40" s="3" t="s">
        <v>346</v>
      </c>
      <c r="J40" s="3" t="s">
        <v>347</v>
      </c>
      <c r="K40" s="9" t="s">
        <v>113</v>
      </c>
      <c r="L40" s="9">
        <v>1</v>
      </c>
      <c r="M40" s="12">
        <v>46308</v>
      </c>
      <c r="N40" s="9" t="s">
        <v>28</v>
      </c>
      <c r="O40" s="13" t="s">
        <v>91</v>
      </c>
    </row>
    <row r="41" spans="1:15">
      <c r="A41" s="9">
        <v>40</v>
      </c>
      <c r="B41" s="10" t="s">
        <v>37</v>
      </c>
      <c r="C41" s="2" t="s">
        <v>348</v>
      </c>
      <c r="D41" s="9" t="s">
        <v>349</v>
      </c>
      <c r="E41" s="8" t="s">
        <v>350</v>
      </c>
      <c r="F41" s="3" t="s">
        <v>351</v>
      </c>
      <c r="G41" s="3" t="s">
        <v>338</v>
      </c>
      <c r="H41" s="11" t="s">
        <v>352</v>
      </c>
      <c r="I41" s="3" t="s">
        <v>353</v>
      </c>
      <c r="J41" s="3" t="s">
        <v>354</v>
      </c>
      <c r="K41" s="9" t="s">
        <v>113</v>
      </c>
      <c r="L41" s="9">
        <v>1</v>
      </c>
      <c r="M41" s="12">
        <v>46308</v>
      </c>
      <c r="N41" s="9" t="s">
        <v>28</v>
      </c>
      <c r="O41" s="13" t="s">
        <v>91</v>
      </c>
    </row>
    <row r="42" ht="36" spans="1:15">
      <c r="A42" s="9">
        <v>41</v>
      </c>
      <c r="B42" s="10" t="s">
        <v>37</v>
      </c>
      <c r="C42" s="2" t="s">
        <v>355</v>
      </c>
      <c r="D42" s="9" t="s">
        <v>356</v>
      </c>
      <c r="E42" s="8" t="s">
        <v>357</v>
      </c>
      <c r="F42" s="3" t="s">
        <v>358</v>
      </c>
      <c r="G42" s="3" t="s">
        <v>338</v>
      </c>
      <c r="H42" s="11" t="s">
        <v>359</v>
      </c>
      <c r="I42" s="3" t="s">
        <v>360</v>
      </c>
      <c r="J42" s="3" t="s">
        <v>354</v>
      </c>
      <c r="K42" s="9" t="s">
        <v>113</v>
      </c>
      <c r="L42" s="9">
        <v>1</v>
      </c>
      <c r="M42" s="12">
        <v>46308</v>
      </c>
      <c r="N42" s="9" t="s">
        <v>28</v>
      </c>
      <c r="O42" s="13" t="s">
        <v>91</v>
      </c>
    </row>
    <row r="43" ht="26.4" spans="1:15">
      <c r="A43" s="9">
        <v>42</v>
      </c>
      <c r="B43" s="10" t="s">
        <v>37</v>
      </c>
      <c r="C43" s="2" t="s">
        <v>361</v>
      </c>
      <c r="D43" s="9" t="s">
        <v>362</v>
      </c>
      <c r="E43" s="8" t="s">
        <v>363</v>
      </c>
      <c r="F43" s="3" t="s">
        <v>364</v>
      </c>
      <c r="G43" s="3" t="s">
        <v>338</v>
      </c>
      <c r="H43" s="11" t="s">
        <v>365</v>
      </c>
      <c r="I43" s="3" t="s">
        <v>366</v>
      </c>
      <c r="J43" s="3" t="s">
        <v>367</v>
      </c>
      <c r="K43" s="9" t="s">
        <v>135</v>
      </c>
      <c r="L43" s="9">
        <v>1</v>
      </c>
      <c r="M43" s="12">
        <v>46308</v>
      </c>
      <c r="N43" s="9" t="s">
        <v>28</v>
      </c>
      <c r="O43" s="13" t="s">
        <v>91</v>
      </c>
    </row>
    <row r="44" spans="1:15">
      <c r="A44" s="9">
        <v>43</v>
      </c>
      <c r="B44" s="10" t="s">
        <v>39</v>
      </c>
      <c r="C44" s="2" t="s">
        <v>368</v>
      </c>
      <c r="D44" s="9" t="s">
        <v>369</v>
      </c>
      <c r="E44" s="8" t="s">
        <v>370</v>
      </c>
      <c r="F44" s="3" t="s">
        <v>371</v>
      </c>
      <c r="G44" s="3" t="s">
        <v>41</v>
      </c>
      <c r="H44" s="11" t="s">
        <v>372</v>
      </c>
      <c r="I44" s="3" t="s">
        <v>373</v>
      </c>
      <c r="J44" s="3" t="s">
        <v>374</v>
      </c>
      <c r="K44" s="9" t="s">
        <v>113</v>
      </c>
      <c r="L44" s="9">
        <v>2</v>
      </c>
      <c r="M44" s="12">
        <v>46316</v>
      </c>
      <c r="N44" s="9" t="s">
        <v>68</v>
      </c>
      <c r="O44" s="13" t="s">
        <v>91</v>
      </c>
    </row>
    <row r="45" ht="26.4" spans="1:15">
      <c r="A45" s="9">
        <v>44</v>
      </c>
      <c r="B45" s="10" t="s">
        <v>39</v>
      </c>
      <c r="C45" s="2" t="s">
        <v>375</v>
      </c>
      <c r="D45" s="9" t="s">
        <v>376</v>
      </c>
      <c r="E45" s="8" t="s">
        <v>377</v>
      </c>
      <c r="F45" s="3" t="s">
        <v>378</v>
      </c>
      <c r="G45" s="3" t="s">
        <v>41</v>
      </c>
      <c r="H45" s="11" t="s">
        <v>379</v>
      </c>
      <c r="I45" s="3" t="s">
        <v>373</v>
      </c>
      <c r="J45" s="3" t="s">
        <v>380</v>
      </c>
      <c r="K45" s="9" t="s">
        <v>113</v>
      </c>
      <c r="L45" s="9">
        <v>2</v>
      </c>
      <c r="M45" s="12">
        <v>46316</v>
      </c>
      <c r="N45" s="9" t="s">
        <v>68</v>
      </c>
      <c r="O45" s="13" t="s">
        <v>91</v>
      </c>
    </row>
    <row r="46" ht="26.4" spans="1:15">
      <c r="A46" s="9">
        <v>45</v>
      </c>
      <c r="B46" s="10" t="s">
        <v>39</v>
      </c>
      <c r="C46" s="2" t="s">
        <v>381</v>
      </c>
      <c r="D46" s="9" t="s">
        <v>382</v>
      </c>
      <c r="E46" s="8" t="s">
        <v>383</v>
      </c>
      <c r="F46" s="3" t="s">
        <v>384</v>
      </c>
      <c r="G46" s="3" t="s">
        <v>41</v>
      </c>
      <c r="H46" s="11" t="s">
        <v>385</v>
      </c>
      <c r="I46" s="3" t="s">
        <v>373</v>
      </c>
      <c r="J46" s="3" t="s">
        <v>386</v>
      </c>
      <c r="K46" s="9" t="s">
        <v>135</v>
      </c>
      <c r="L46" s="9">
        <v>2</v>
      </c>
      <c r="M46" s="12">
        <v>46316</v>
      </c>
      <c r="N46" s="9" t="s">
        <v>68</v>
      </c>
      <c r="O46" s="13" t="s">
        <v>91</v>
      </c>
    </row>
    <row r="47" ht="26.4" spans="1:15">
      <c r="A47" s="9">
        <v>46</v>
      </c>
      <c r="B47" s="10" t="s">
        <v>42</v>
      </c>
      <c r="C47" s="2" t="s">
        <v>387</v>
      </c>
      <c r="D47" s="9" t="s">
        <v>388</v>
      </c>
      <c r="E47" s="8" t="s">
        <v>389</v>
      </c>
      <c r="F47" s="3" t="s">
        <v>390</v>
      </c>
      <c r="G47" s="3" t="s">
        <v>44</v>
      </c>
      <c r="H47" s="11" t="s">
        <v>391</v>
      </c>
      <c r="I47" s="3" t="s">
        <v>392</v>
      </c>
      <c r="J47" s="3" t="s">
        <v>393</v>
      </c>
      <c r="K47" s="9" t="s">
        <v>113</v>
      </c>
      <c r="L47" s="9">
        <v>1</v>
      </c>
      <c r="M47" s="12">
        <v>46308</v>
      </c>
      <c r="N47" s="9" t="s">
        <v>28</v>
      </c>
      <c r="O47" s="13" t="s">
        <v>85</v>
      </c>
    </row>
    <row r="48" ht="26.4" spans="1:15">
      <c r="A48" s="9">
        <v>47</v>
      </c>
      <c r="B48" s="10" t="s">
        <v>42</v>
      </c>
      <c r="C48" s="2" t="s">
        <v>394</v>
      </c>
      <c r="D48" s="9" t="s">
        <v>395</v>
      </c>
      <c r="E48" s="8" t="s">
        <v>396</v>
      </c>
      <c r="F48" s="3" t="s">
        <v>397</v>
      </c>
      <c r="G48" s="3" t="s">
        <v>44</v>
      </c>
      <c r="H48" s="11" t="s">
        <v>398</v>
      </c>
      <c r="I48" s="3" t="s">
        <v>346</v>
      </c>
      <c r="J48" s="3" t="s">
        <v>399</v>
      </c>
      <c r="K48" s="9" t="s">
        <v>113</v>
      </c>
      <c r="L48" s="9">
        <v>1</v>
      </c>
      <c r="M48" s="12">
        <v>46308</v>
      </c>
      <c r="N48" s="9" t="s">
        <v>28</v>
      </c>
      <c r="O48" s="13" t="s">
        <v>85</v>
      </c>
    </row>
    <row r="49" spans="1:15">
      <c r="A49" s="9">
        <v>48</v>
      </c>
      <c r="B49" s="10" t="s">
        <v>42</v>
      </c>
      <c r="C49" s="2" t="s">
        <v>400</v>
      </c>
      <c r="D49" s="9" t="s">
        <v>401</v>
      </c>
      <c r="E49" s="8" t="s">
        <v>402</v>
      </c>
      <c r="F49" s="3" t="s">
        <v>403</v>
      </c>
      <c r="G49" s="3" t="s">
        <v>44</v>
      </c>
      <c r="H49" s="11" t="s">
        <v>404</v>
      </c>
      <c r="I49" s="3" t="s">
        <v>392</v>
      </c>
      <c r="J49" s="3" t="s">
        <v>405</v>
      </c>
      <c r="K49" s="9" t="s">
        <v>113</v>
      </c>
      <c r="L49" s="9">
        <v>1</v>
      </c>
      <c r="M49" s="12">
        <v>46308</v>
      </c>
      <c r="N49" s="9" t="s">
        <v>28</v>
      </c>
      <c r="O49" s="13" t="s">
        <v>85</v>
      </c>
    </row>
    <row r="50" spans="1:15">
      <c r="A50" s="9">
        <v>49</v>
      </c>
      <c r="B50" s="10" t="s">
        <v>42</v>
      </c>
      <c r="C50" s="2" t="s">
        <v>406</v>
      </c>
      <c r="D50" s="9" t="s">
        <v>407</v>
      </c>
      <c r="E50" s="8" t="s">
        <v>408</v>
      </c>
      <c r="F50" s="3" t="s">
        <v>409</v>
      </c>
      <c r="G50" s="3" t="s">
        <v>44</v>
      </c>
      <c r="H50" s="11" t="s">
        <v>410</v>
      </c>
      <c r="I50" s="3" t="s">
        <v>392</v>
      </c>
      <c r="J50" s="3" t="s">
        <v>411</v>
      </c>
      <c r="K50" s="9" t="s">
        <v>113</v>
      </c>
      <c r="L50" s="9">
        <v>1</v>
      </c>
      <c r="M50" s="12">
        <v>46308</v>
      </c>
      <c r="N50" s="9" t="s">
        <v>28</v>
      </c>
      <c r="O50" s="13" t="s">
        <v>85</v>
      </c>
    </row>
    <row r="51" spans="1:15">
      <c r="A51" s="9">
        <v>50</v>
      </c>
      <c r="B51" s="10" t="s">
        <v>42</v>
      </c>
      <c r="C51" s="2" t="s">
        <v>412</v>
      </c>
      <c r="D51" s="9" t="s">
        <v>413</v>
      </c>
      <c r="E51" s="8" t="s">
        <v>414</v>
      </c>
      <c r="F51" s="3" t="s">
        <v>415</v>
      </c>
      <c r="G51" s="3" t="s">
        <v>44</v>
      </c>
      <c r="H51" s="11" t="s">
        <v>416</v>
      </c>
      <c r="I51" s="3" t="s">
        <v>392</v>
      </c>
      <c r="J51" s="3" t="s">
        <v>411</v>
      </c>
      <c r="K51" s="9" t="s">
        <v>113</v>
      </c>
      <c r="L51" s="9">
        <v>1</v>
      </c>
      <c r="M51" s="12">
        <v>46308</v>
      </c>
      <c r="N51" s="9" t="s">
        <v>28</v>
      </c>
      <c r="O51" s="13" t="s">
        <v>85</v>
      </c>
    </row>
    <row r="52" ht="39.6" spans="1:15">
      <c r="A52" s="9">
        <v>51</v>
      </c>
      <c r="B52" s="10" t="s">
        <v>45</v>
      </c>
      <c r="C52" s="2" t="s">
        <v>417</v>
      </c>
      <c r="D52" s="9" t="s">
        <v>418</v>
      </c>
      <c r="E52" s="8" t="s">
        <v>419</v>
      </c>
      <c r="F52" s="3" t="s">
        <v>420</v>
      </c>
      <c r="G52" s="3" t="s">
        <v>44</v>
      </c>
      <c r="H52" s="11" t="s">
        <v>421</v>
      </c>
      <c r="I52" s="3" t="s">
        <v>422</v>
      </c>
      <c r="J52" s="3" t="s">
        <v>423</v>
      </c>
      <c r="K52" s="9" t="s">
        <v>113</v>
      </c>
      <c r="L52" s="9">
        <v>1</v>
      </c>
      <c r="M52" s="12">
        <v>46308</v>
      </c>
      <c r="N52" s="9" t="s">
        <v>28</v>
      </c>
      <c r="O52" s="13" t="s">
        <v>91</v>
      </c>
    </row>
    <row r="53" ht="52.8" spans="1:15">
      <c r="A53" s="9">
        <v>52</v>
      </c>
      <c r="B53" s="10" t="s">
        <v>45</v>
      </c>
      <c r="C53" s="2" t="s">
        <v>424</v>
      </c>
      <c r="D53" s="9" t="s">
        <v>425</v>
      </c>
      <c r="E53" s="8" t="s">
        <v>426</v>
      </c>
      <c r="F53" s="3" t="s">
        <v>427</v>
      </c>
      <c r="G53" s="3" t="s">
        <v>44</v>
      </c>
      <c r="H53" s="11" t="s">
        <v>428</v>
      </c>
      <c r="I53" s="3" t="s">
        <v>429</v>
      </c>
      <c r="J53" s="3" t="s">
        <v>430</v>
      </c>
      <c r="K53" s="9" t="s">
        <v>113</v>
      </c>
      <c r="L53" s="9">
        <v>1</v>
      </c>
      <c r="M53" s="12">
        <v>46308</v>
      </c>
      <c r="N53" s="9" t="s">
        <v>28</v>
      </c>
      <c r="O53" s="13" t="s">
        <v>91</v>
      </c>
    </row>
    <row r="54" spans="1:15">
      <c r="A54" s="9">
        <v>53</v>
      </c>
      <c r="B54" s="10" t="s">
        <v>45</v>
      </c>
      <c r="C54" s="2" t="s">
        <v>431</v>
      </c>
      <c r="D54" s="9" t="s">
        <v>432</v>
      </c>
      <c r="E54" s="8" t="s">
        <v>433</v>
      </c>
      <c r="F54" s="3" t="s">
        <v>434</v>
      </c>
      <c r="G54" s="3" t="s">
        <v>44</v>
      </c>
      <c r="H54" s="11" t="s">
        <v>435</v>
      </c>
      <c r="I54" s="3" t="s">
        <v>436</v>
      </c>
      <c r="J54" s="3" t="s">
        <v>437</v>
      </c>
      <c r="K54" s="9" t="s">
        <v>113</v>
      </c>
      <c r="L54" s="9">
        <v>2</v>
      </c>
      <c r="M54" s="12">
        <v>46316</v>
      </c>
      <c r="N54" s="9" t="s">
        <v>68</v>
      </c>
      <c r="O54" s="13" t="s">
        <v>91</v>
      </c>
    </row>
    <row r="55" ht="26.4" spans="1:15">
      <c r="A55" s="9">
        <v>54</v>
      </c>
      <c r="B55" s="10" t="s">
        <v>45</v>
      </c>
      <c r="C55" s="2" t="s">
        <v>438</v>
      </c>
      <c r="D55" s="9" t="s">
        <v>439</v>
      </c>
      <c r="E55" s="8" t="s">
        <v>440</v>
      </c>
      <c r="F55" s="3" t="s">
        <v>441</v>
      </c>
      <c r="G55" s="3" t="s">
        <v>44</v>
      </c>
      <c r="H55" s="11" t="s">
        <v>442</v>
      </c>
      <c r="I55" s="3" t="s">
        <v>443</v>
      </c>
      <c r="J55" s="3" t="s">
        <v>444</v>
      </c>
      <c r="K55" s="9" t="s">
        <v>113</v>
      </c>
      <c r="L55" s="9">
        <v>2</v>
      </c>
      <c r="M55" s="12">
        <v>46316</v>
      </c>
      <c r="N55" s="9" t="s">
        <v>68</v>
      </c>
      <c r="O55" s="13" t="s">
        <v>91</v>
      </c>
    </row>
    <row r="56" ht="39.6" spans="1:15">
      <c r="A56" s="9">
        <v>55</v>
      </c>
      <c r="B56" s="10" t="s">
        <v>45</v>
      </c>
      <c r="C56" s="2" t="s">
        <v>445</v>
      </c>
      <c r="D56" s="9" t="s">
        <v>446</v>
      </c>
      <c r="E56" s="8" t="s">
        <v>447</v>
      </c>
      <c r="F56" s="3" t="s">
        <v>448</v>
      </c>
      <c r="G56" s="3" t="s">
        <v>44</v>
      </c>
      <c r="H56" s="11" t="s">
        <v>449</v>
      </c>
      <c r="I56" s="3" t="s">
        <v>443</v>
      </c>
      <c r="J56" s="3" t="s">
        <v>450</v>
      </c>
      <c r="K56" s="9" t="s">
        <v>113</v>
      </c>
      <c r="L56" s="9">
        <v>2</v>
      </c>
      <c r="M56" s="12">
        <v>46316</v>
      </c>
      <c r="N56" s="9" t="s">
        <v>68</v>
      </c>
      <c r="O56" s="13" t="s">
        <v>91</v>
      </c>
    </row>
    <row r="57" spans="1:15">
      <c r="A57" s="9">
        <v>56</v>
      </c>
      <c r="B57" s="10" t="s">
        <v>45</v>
      </c>
      <c r="C57" s="2" t="s">
        <v>451</v>
      </c>
      <c r="D57" s="9" t="s">
        <v>452</v>
      </c>
      <c r="E57" s="8" t="s">
        <v>453</v>
      </c>
      <c r="F57" s="3" t="s">
        <v>454</v>
      </c>
      <c r="G57" s="3" t="s">
        <v>41</v>
      </c>
      <c r="H57" s="11" t="s">
        <v>455</v>
      </c>
      <c r="I57" s="3" t="s">
        <v>456</v>
      </c>
      <c r="J57" s="3" t="s">
        <v>457</v>
      </c>
      <c r="K57" s="9" t="s">
        <v>113</v>
      </c>
      <c r="L57" s="9">
        <v>2</v>
      </c>
      <c r="M57" s="12">
        <v>46316</v>
      </c>
      <c r="N57" s="9" t="s">
        <v>68</v>
      </c>
      <c r="O57" s="13" t="s">
        <v>85</v>
      </c>
    </row>
    <row r="58" ht="26.4" spans="1:15">
      <c r="A58" s="9">
        <v>57</v>
      </c>
      <c r="B58" s="10" t="s">
        <v>45</v>
      </c>
      <c r="C58" s="2" t="s">
        <v>458</v>
      </c>
      <c r="D58" s="9" t="s">
        <v>459</v>
      </c>
      <c r="E58" s="8" t="s">
        <v>460</v>
      </c>
      <c r="F58" s="3" t="s">
        <v>461</v>
      </c>
      <c r="G58" s="3" t="s">
        <v>41</v>
      </c>
      <c r="H58" s="11" t="s">
        <v>462</v>
      </c>
      <c r="I58" s="3" t="s">
        <v>456</v>
      </c>
      <c r="J58" s="3" t="s">
        <v>463</v>
      </c>
      <c r="K58" s="9" t="s">
        <v>113</v>
      </c>
      <c r="L58" s="9">
        <v>2</v>
      </c>
      <c r="M58" s="12">
        <v>46316</v>
      </c>
      <c r="N58" s="9" t="s">
        <v>68</v>
      </c>
      <c r="O58" s="13" t="s">
        <v>85</v>
      </c>
    </row>
    <row r="59" ht="26.4" spans="1:15">
      <c r="A59" s="9">
        <v>58</v>
      </c>
      <c r="B59" s="10" t="s">
        <v>47</v>
      </c>
      <c r="C59" s="2" t="s">
        <v>464</v>
      </c>
      <c r="D59" s="9" t="s">
        <v>465</v>
      </c>
      <c r="E59" s="8" t="s">
        <v>466</v>
      </c>
      <c r="F59" s="3" t="s">
        <v>467</v>
      </c>
      <c r="G59" s="3" t="s">
        <v>44</v>
      </c>
      <c r="H59" s="11" t="s">
        <v>468</v>
      </c>
      <c r="I59" s="3" t="s">
        <v>443</v>
      </c>
      <c r="J59" s="3" t="s">
        <v>469</v>
      </c>
      <c r="K59" s="9" t="s">
        <v>113</v>
      </c>
      <c r="L59" s="9">
        <v>2</v>
      </c>
      <c r="M59" s="12">
        <v>46316</v>
      </c>
      <c r="N59" s="9" t="s">
        <v>68</v>
      </c>
      <c r="O59" s="13" t="s">
        <v>85</v>
      </c>
    </row>
    <row r="60" ht="26.4" spans="1:15">
      <c r="A60" s="9">
        <v>59</v>
      </c>
      <c r="B60" s="10" t="s">
        <v>47</v>
      </c>
      <c r="C60" s="2" t="s">
        <v>470</v>
      </c>
      <c r="D60" s="9" t="s">
        <v>471</v>
      </c>
      <c r="E60" s="8" t="s">
        <v>472</v>
      </c>
      <c r="F60" s="3" t="s">
        <v>473</v>
      </c>
      <c r="G60" s="3" t="s">
        <v>44</v>
      </c>
      <c r="H60" s="11" t="s">
        <v>474</v>
      </c>
      <c r="I60" s="3" t="s">
        <v>475</v>
      </c>
      <c r="J60" s="3" t="s">
        <v>476</v>
      </c>
      <c r="K60" s="9" t="s">
        <v>113</v>
      </c>
      <c r="L60" s="9">
        <v>2</v>
      </c>
      <c r="M60" s="12">
        <v>46316</v>
      </c>
      <c r="N60" s="9" t="s">
        <v>68</v>
      </c>
      <c r="O60" s="13" t="s">
        <v>85</v>
      </c>
    </row>
    <row r="61" ht="26.4" spans="1:15">
      <c r="A61" s="9">
        <v>60</v>
      </c>
      <c r="B61" s="10" t="s">
        <v>47</v>
      </c>
      <c r="C61" s="2" t="s">
        <v>477</v>
      </c>
      <c r="D61" s="9" t="s">
        <v>478</v>
      </c>
      <c r="E61" s="8" t="s">
        <v>479</v>
      </c>
      <c r="F61" s="3" t="s">
        <v>480</v>
      </c>
      <c r="G61" s="3" t="s">
        <v>41</v>
      </c>
      <c r="H61" s="11" t="s">
        <v>481</v>
      </c>
      <c r="I61" s="3" t="s">
        <v>456</v>
      </c>
      <c r="J61" s="3" t="s">
        <v>482</v>
      </c>
      <c r="K61" s="9" t="s">
        <v>113</v>
      </c>
      <c r="L61" s="9">
        <v>2</v>
      </c>
      <c r="M61" s="12">
        <v>46316</v>
      </c>
      <c r="N61" s="9" t="s">
        <v>68</v>
      </c>
      <c r="O61" s="13" t="s">
        <v>85</v>
      </c>
    </row>
    <row r="62" ht="26.4" spans="1:15">
      <c r="A62" s="9">
        <v>61</v>
      </c>
      <c r="B62" s="10" t="s">
        <v>49</v>
      </c>
      <c r="C62" s="2" t="s">
        <v>483</v>
      </c>
      <c r="D62" s="9" t="s">
        <v>484</v>
      </c>
      <c r="E62" s="8" t="s">
        <v>485</v>
      </c>
      <c r="F62" s="3" t="s">
        <v>486</v>
      </c>
      <c r="G62" s="3" t="s">
        <v>58</v>
      </c>
      <c r="H62" s="11" t="s">
        <v>487</v>
      </c>
      <c r="I62" s="3" t="s">
        <v>488</v>
      </c>
      <c r="J62" s="3" t="s">
        <v>489</v>
      </c>
      <c r="K62" s="9" t="s">
        <v>135</v>
      </c>
      <c r="L62" s="9">
        <v>2</v>
      </c>
      <c r="M62" s="12">
        <v>46316</v>
      </c>
      <c r="N62" s="9" t="s">
        <v>68</v>
      </c>
      <c r="O62" s="13" t="s">
        <v>88</v>
      </c>
    </row>
    <row r="63" ht="24" spans="1:15">
      <c r="A63" s="9">
        <v>62</v>
      </c>
      <c r="B63" s="10" t="s">
        <v>49</v>
      </c>
      <c r="C63" s="2" t="s">
        <v>490</v>
      </c>
      <c r="D63" s="9" t="s">
        <v>491</v>
      </c>
      <c r="E63" s="8" t="s">
        <v>492</v>
      </c>
      <c r="F63" s="3" t="s">
        <v>493</v>
      </c>
      <c r="G63" s="3" t="s">
        <v>58</v>
      </c>
      <c r="H63" s="11" t="s">
        <v>494</v>
      </c>
      <c r="I63" s="3" t="s">
        <v>488</v>
      </c>
      <c r="J63" s="3" t="s">
        <v>495</v>
      </c>
      <c r="K63" s="9" t="s">
        <v>135</v>
      </c>
      <c r="L63" s="9">
        <v>2</v>
      </c>
      <c r="M63" s="12">
        <v>46316</v>
      </c>
      <c r="N63" s="9" t="s">
        <v>68</v>
      </c>
      <c r="O63" s="13" t="s">
        <v>88</v>
      </c>
    </row>
    <row r="64" ht="26.4" spans="1:15">
      <c r="A64" s="9">
        <v>63</v>
      </c>
      <c r="B64" s="10" t="s">
        <v>49</v>
      </c>
      <c r="C64" s="2" t="s">
        <v>496</v>
      </c>
      <c r="D64" s="9" t="s">
        <v>497</v>
      </c>
      <c r="E64" s="8" t="s">
        <v>498</v>
      </c>
      <c r="F64" s="3" t="s">
        <v>499</v>
      </c>
      <c r="G64" s="3" t="s">
        <v>58</v>
      </c>
      <c r="H64" s="11" t="s">
        <v>500</v>
      </c>
      <c r="I64" s="3" t="s">
        <v>488</v>
      </c>
      <c r="J64" s="3" t="s">
        <v>501</v>
      </c>
      <c r="K64" s="9" t="s">
        <v>135</v>
      </c>
      <c r="L64" s="9">
        <v>2</v>
      </c>
      <c r="M64" s="12">
        <v>46316</v>
      </c>
      <c r="N64" s="9" t="s">
        <v>68</v>
      </c>
      <c r="O64" s="13" t="s">
        <v>88</v>
      </c>
    </row>
    <row r="65" spans="1:15">
      <c r="A65" s="9">
        <v>64</v>
      </c>
      <c r="B65" s="10" t="s">
        <v>49</v>
      </c>
      <c r="C65" s="2" t="s">
        <v>502</v>
      </c>
      <c r="D65" s="9" t="s">
        <v>503</v>
      </c>
      <c r="E65" s="8" t="s">
        <v>504</v>
      </c>
      <c r="F65" s="3" t="s">
        <v>505</v>
      </c>
      <c r="G65" s="3" t="s">
        <v>58</v>
      </c>
      <c r="H65" s="11" t="s">
        <v>506</v>
      </c>
      <c r="I65" s="3" t="s">
        <v>488</v>
      </c>
      <c r="J65" s="3" t="s">
        <v>507</v>
      </c>
      <c r="K65" s="9" t="s">
        <v>135</v>
      </c>
      <c r="L65" s="9">
        <v>2</v>
      </c>
      <c r="M65" s="12">
        <v>46316</v>
      </c>
      <c r="N65" s="9" t="s">
        <v>68</v>
      </c>
      <c r="O65" s="13" t="s">
        <v>88</v>
      </c>
    </row>
    <row r="66" ht="26.4" spans="1:15">
      <c r="A66" s="9">
        <v>65</v>
      </c>
      <c r="B66" s="10" t="s">
        <v>49</v>
      </c>
      <c r="C66" s="2" t="s">
        <v>508</v>
      </c>
      <c r="D66" s="9" t="s">
        <v>509</v>
      </c>
      <c r="E66" s="8" t="s">
        <v>510</v>
      </c>
      <c r="F66" s="3" t="s">
        <v>511</v>
      </c>
      <c r="G66" s="3" t="s">
        <v>44</v>
      </c>
      <c r="H66" s="11" t="s">
        <v>512</v>
      </c>
      <c r="I66" s="3" t="s">
        <v>422</v>
      </c>
      <c r="J66" s="3" t="s">
        <v>513</v>
      </c>
      <c r="K66" s="9" t="s">
        <v>135</v>
      </c>
      <c r="L66" s="9">
        <v>2</v>
      </c>
      <c r="M66" s="12">
        <v>46316</v>
      </c>
      <c r="N66" s="9" t="s">
        <v>68</v>
      </c>
      <c r="O66" s="13" t="s">
        <v>82</v>
      </c>
    </row>
    <row r="67" ht="26.4" spans="1:15">
      <c r="A67" s="9">
        <v>66</v>
      </c>
      <c r="B67" s="10" t="s">
        <v>49</v>
      </c>
      <c r="C67" s="2" t="s">
        <v>514</v>
      </c>
      <c r="D67" s="9" t="s">
        <v>515</v>
      </c>
      <c r="E67" s="8" t="s">
        <v>516</v>
      </c>
      <c r="F67" s="3" t="s">
        <v>517</v>
      </c>
      <c r="G67" s="3" t="s">
        <v>44</v>
      </c>
      <c r="H67" s="11" t="s">
        <v>518</v>
      </c>
      <c r="I67" s="3" t="s">
        <v>422</v>
      </c>
      <c r="J67" s="3" t="s">
        <v>519</v>
      </c>
      <c r="K67" s="9" t="s">
        <v>135</v>
      </c>
      <c r="L67" s="9">
        <v>2</v>
      </c>
      <c r="M67" s="12">
        <v>46316</v>
      </c>
      <c r="N67" s="9" t="s">
        <v>68</v>
      </c>
      <c r="O67" s="13" t="s">
        <v>82</v>
      </c>
    </row>
    <row r="68" ht="26.4" spans="1:15">
      <c r="A68" s="9">
        <v>67</v>
      </c>
      <c r="B68" s="10" t="s">
        <v>49</v>
      </c>
      <c r="C68" s="2" t="s">
        <v>520</v>
      </c>
      <c r="D68" s="9" t="s">
        <v>521</v>
      </c>
      <c r="E68" s="8" t="s">
        <v>522</v>
      </c>
      <c r="F68" s="3" t="s">
        <v>523</v>
      </c>
      <c r="G68" s="3" t="s">
        <v>44</v>
      </c>
      <c r="H68" s="11" t="s">
        <v>524</v>
      </c>
      <c r="I68" s="3" t="s">
        <v>422</v>
      </c>
      <c r="J68" s="3" t="s">
        <v>525</v>
      </c>
      <c r="K68" s="9" t="s">
        <v>135</v>
      </c>
      <c r="L68" s="9">
        <v>2</v>
      </c>
      <c r="M68" s="12">
        <v>46316</v>
      </c>
      <c r="N68" s="9" t="s">
        <v>68</v>
      </c>
      <c r="O68" s="13" t="s">
        <v>82</v>
      </c>
    </row>
    <row r="69" ht="26.4" spans="1:15">
      <c r="A69" s="9">
        <v>68</v>
      </c>
      <c r="B69" s="10" t="s">
        <v>52</v>
      </c>
      <c r="C69" s="2" t="s">
        <v>526</v>
      </c>
      <c r="D69" s="9" t="s">
        <v>527</v>
      </c>
      <c r="E69" s="8" t="s">
        <v>528</v>
      </c>
      <c r="F69" s="3" t="s">
        <v>529</v>
      </c>
      <c r="G69" s="3" t="s">
        <v>44</v>
      </c>
      <c r="H69" s="11" t="s">
        <v>530</v>
      </c>
      <c r="I69" s="3" t="s">
        <v>531</v>
      </c>
      <c r="J69" s="3" t="s">
        <v>532</v>
      </c>
      <c r="K69" s="9" t="s">
        <v>135</v>
      </c>
      <c r="L69" s="9">
        <v>3</v>
      </c>
      <c r="M69" s="12">
        <v>46322</v>
      </c>
      <c r="N69" s="9" t="s">
        <v>69</v>
      </c>
      <c r="O69" s="13" t="s">
        <v>88</v>
      </c>
    </row>
    <row r="70" ht="26.4" spans="1:15">
      <c r="A70" s="9">
        <v>69</v>
      </c>
      <c r="B70" s="10" t="s">
        <v>52</v>
      </c>
      <c r="C70" s="2" t="s">
        <v>533</v>
      </c>
      <c r="D70" s="9" t="s">
        <v>534</v>
      </c>
      <c r="E70" s="8" t="s">
        <v>535</v>
      </c>
      <c r="F70" s="3" t="s">
        <v>536</v>
      </c>
      <c r="G70" s="3" t="s">
        <v>33</v>
      </c>
      <c r="H70" s="11" t="s">
        <v>537</v>
      </c>
      <c r="I70" s="3" t="s">
        <v>538</v>
      </c>
      <c r="J70" s="3" t="s">
        <v>539</v>
      </c>
      <c r="K70" s="9" t="s">
        <v>135</v>
      </c>
      <c r="L70" s="9">
        <v>3</v>
      </c>
      <c r="M70" s="12">
        <v>46322</v>
      </c>
      <c r="N70" s="9" t="s">
        <v>69</v>
      </c>
      <c r="O70" s="13" t="s">
        <v>88</v>
      </c>
    </row>
    <row r="71" ht="26.4" spans="1:15">
      <c r="A71" s="9">
        <v>70</v>
      </c>
      <c r="B71" s="10" t="s">
        <v>52</v>
      </c>
      <c r="C71" s="2" t="s">
        <v>540</v>
      </c>
      <c r="D71" s="9" t="s">
        <v>541</v>
      </c>
      <c r="E71" s="8" t="s">
        <v>542</v>
      </c>
      <c r="F71" s="3" t="s">
        <v>543</v>
      </c>
      <c r="G71" s="3" t="s">
        <v>44</v>
      </c>
      <c r="H71" s="11" t="s">
        <v>544</v>
      </c>
      <c r="I71" s="3" t="s">
        <v>531</v>
      </c>
      <c r="J71" s="3" t="s">
        <v>545</v>
      </c>
      <c r="K71" s="9" t="s">
        <v>135</v>
      </c>
      <c r="L71" s="9">
        <v>3</v>
      </c>
      <c r="M71" s="12">
        <v>46322</v>
      </c>
      <c r="N71" s="9" t="s">
        <v>69</v>
      </c>
      <c r="O71" s="13" t="s">
        <v>88</v>
      </c>
    </row>
    <row r="72" spans="1:15">
      <c r="A72" s="9">
        <v>71</v>
      </c>
      <c r="B72" s="10" t="s">
        <v>52</v>
      </c>
      <c r="C72" s="2" t="s">
        <v>546</v>
      </c>
      <c r="D72" s="9" t="s">
        <v>547</v>
      </c>
      <c r="E72" s="8" t="s">
        <v>548</v>
      </c>
      <c r="F72" s="3" t="s">
        <v>549</v>
      </c>
      <c r="G72" s="3" t="s">
        <v>44</v>
      </c>
      <c r="H72" s="11" t="s">
        <v>550</v>
      </c>
      <c r="I72" s="3" t="s">
        <v>531</v>
      </c>
      <c r="J72" s="3" t="s">
        <v>551</v>
      </c>
      <c r="K72" s="9" t="s">
        <v>135</v>
      </c>
      <c r="L72" s="9">
        <v>3</v>
      </c>
      <c r="M72" s="12">
        <v>46322</v>
      </c>
      <c r="N72" s="9" t="s">
        <v>69</v>
      </c>
      <c r="O72" s="13" t="s">
        <v>88</v>
      </c>
    </row>
    <row r="73" ht="26.4" spans="1:15">
      <c r="A73" s="9">
        <v>72</v>
      </c>
      <c r="B73" s="10" t="s">
        <v>52</v>
      </c>
      <c r="C73" s="2" t="s">
        <v>552</v>
      </c>
      <c r="D73" s="9" t="s">
        <v>553</v>
      </c>
      <c r="E73" s="8" t="s">
        <v>554</v>
      </c>
      <c r="F73" s="3" t="s">
        <v>555</v>
      </c>
      <c r="G73" s="3" t="s">
        <v>41</v>
      </c>
      <c r="H73" s="11" t="s">
        <v>556</v>
      </c>
      <c r="I73" s="3" t="s">
        <v>557</v>
      </c>
      <c r="J73" s="3" t="s">
        <v>558</v>
      </c>
      <c r="K73" s="9" t="s">
        <v>135</v>
      </c>
      <c r="L73" s="9">
        <v>3</v>
      </c>
      <c r="M73" s="12">
        <v>46322</v>
      </c>
      <c r="N73" s="9" t="s">
        <v>69</v>
      </c>
      <c r="O73" s="13" t="s">
        <v>88</v>
      </c>
    </row>
    <row r="74" spans="1:15">
      <c r="A74" s="9">
        <v>73</v>
      </c>
      <c r="B74" s="10" t="s">
        <v>54</v>
      </c>
      <c r="C74" s="2" t="s">
        <v>559</v>
      </c>
      <c r="D74" s="9" t="s">
        <v>560</v>
      </c>
      <c r="E74" s="8" t="s">
        <v>561</v>
      </c>
      <c r="F74" s="3" t="s">
        <v>562</v>
      </c>
      <c r="G74" s="3" t="s">
        <v>44</v>
      </c>
      <c r="H74" s="11" t="s">
        <v>563</v>
      </c>
      <c r="I74" s="3" t="s">
        <v>54</v>
      </c>
      <c r="J74" s="3" t="s">
        <v>564</v>
      </c>
      <c r="K74" s="9" t="s">
        <v>565</v>
      </c>
      <c r="L74" s="9">
        <v>1</v>
      </c>
      <c r="M74" s="12">
        <v>46308</v>
      </c>
      <c r="N74" s="9" t="s">
        <v>28</v>
      </c>
      <c r="O74" s="13" t="s">
        <v>88</v>
      </c>
    </row>
    <row r="75" spans="1:15">
      <c r="A75" s="9">
        <v>74</v>
      </c>
      <c r="B75" s="10" t="s">
        <v>54</v>
      </c>
      <c r="C75" s="2" t="s">
        <v>566</v>
      </c>
      <c r="D75" s="9" t="s">
        <v>567</v>
      </c>
      <c r="E75" s="8" t="s">
        <v>568</v>
      </c>
      <c r="F75" s="3" t="s">
        <v>569</v>
      </c>
      <c r="G75" s="3" t="s">
        <v>44</v>
      </c>
      <c r="H75" s="11" t="s">
        <v>570</v>
      </c>
      <c r="I75" s="3" t="s">
        <v>571</v>
      </c>
      <c r="J75" s="3" t="s">
        <v>572</v>
      </c>
      <c r="K75" s="9" t="s">
        <v>565</v>
      </c>
      <c r="L75" s="9">
        <v>1</v>
      </c>
      <c r="M75" s="12">
        <v>46308</v>
      </c>
      <c r="N75" s="9" t="s">
        <v>28</v>
      </c>
      <c r="O75" s="13" t="s">
        <v>88</v>
      </c>
    </row>
    <row r="76" ht="26.4" spans="1:15">
      <c r="A76" s="9">
        <v>75</v>
      </c>
      <c r="B76" s="10" t="s">
        <v>54</v>
      </c>
      <c r="C76" s="2" t="s">
        <v>573</v>
      </c>
      <c r="D76" s="9" t="s">
        <v>574</v>
      </c>
      <c r="E76" s="8" t="s">
        <v>575</v>
      </c>
      <c r="F76" s="3" t="s">
        <v>576</v>
      </c>
      <c r="G76" s="3" t="s">
        <v>44</v>
      </c>
      <c r="H76" s="11" t="s">
        <v>577</v>
      </c>
      <c r="I76" s="3" t="s">
        <v>54</v>
      </c>
      <c r="J76" s="3" t="s">
        <v>564</v>
      </c>
      <c r="K76" s="9" t="s">
        <v>565</v>
      </c>
      <c r="L76" s="9">
        <v>1</v>
      </c>
      <c r="M76" s="12">
        <v>46308</v>
      </c>
      <c r="N76" s="9" t="s">
        <v>28</v>
      </c>
      <c r="O76" s="13" t="s">
        <v>88</v>
      </c>
    </row>
    <row r="77" ht="26.4" spans="1:15">
      <c r="A77" s="9">
        <v>76</v>
      </c>
      <c r="B77" s="10" t="s">
        <v>56</v>
      </c>
      <c r="C77" s="2" t="s">
        <v>578</v>
      </c>
      <c r="D77" s="9" t="s">
        <v>579</v>
      </c>
      <c r="E77" s="8" t="s">
        <v>580</v>
      </c>
      <c r="F77" s="3" t="s">
        <v>581</v>
      </c>
      <c r="G77" s="3" t="s">
        <v>58</v>
      </c>
      <c r="H77" s="11" t="s">
        <v>582</v>
      </c>
      <c r="I77" s="3" t="s">
        <v>583</v>
      </c>
      <c r="J77" s="3" t="s">
        <v>584</v>
      </c>
      <c r="K77" s="9" t="s">
        <v>135</v>
      </c>
      <c r="L77" s="9">
        <v>3</v>
      </c>
      <c r="M77" s="12">
        <v>46322</v>
      </c>
      <c r="N77" s="9" t="s">
        <v>69</v>
      </c>
      <c r="O77" s="13" t="s">
        <v>85</v>
      </c>
    </row>
    <row r="78" spans="1:15">
      <c r="A78" s="9">
        <v>77</v>
      </c>
      <c r="B78" s="10" t="s">
        <v>56</v>
      </c>
      <c r="C78" s="2" t="s">
        <v>585</v>
      </c>
      <c r="D78" s="9" t="s">
        <v>586</v>
      </c>
      <c r="E78" s="8" t="s">
        <v>587</v>
      </c>
      <c r="F78" s="3" t="s">
        <v>588</v>
      </c>
      <c r="G78" s="3" t="s">
        <v>58</v>
      </c>
      <c r="H78" s="11" t="s">
        <v>589</v>
      </c>
      <c r="I78" s="3" t="s">
        <v>583</v>
      </c>
      <c r="J78" s="3" t="s">
        <v>584</v>
      </c>
      <c r="K78" s="9" t="s">
        <v>135</v>
      </c>
      <c r="L78" s="9">
        <v>3</v>
      </c>
      <c r="M78" s="12">
        <v>46322</v>
      </c>
      <c r="N78" s="9" t="s">
        <v>69</v>
      </c>
      <c r="O78" s="13" t="s">
        <v>85</v>
      </c>
    </row>
    <row r="79" ht="26.4" spans="1:15">
      <c r="A79" s="9">
        <v>78</v>
      </c>
      <c r="B79" s="10" t="s">
        <v>56</v>
      </c>
      <c r="C79" s="2" t="s">
        <v>590</v>
      </c>
      <c r="D79" s="9" t="s">
        <v>591</v>
      </c>
      <c r="E79" s="8" t="s">
        <v>592</v>
      </c>
      <c r="F79" s="3" t="s">
        <v>593</v>
      </c>
      <c r="G79" s="3" t="s">
        <v>58</v>
      </c>
      <c r="H79" s="11" t="s">
        <v>594</v>
      </c>
      <c r="I79" s="3" t="s">
        <v>583</v>
      </c>
      <c r="J79" s="3" t="s">
        <v>595</v>
      </c>
      <c r="K79" s="9" t="s">
        <v>135</v>
      </c>
      <c r="L79" s="9">
        <v>3</v>
      </c>
      <c r="M79" s="12">
        <v>46322</v>
      </c>
      <c r="N79" s="9" t="s">
        <v>69</v>
      </c>
      <c r="O79" s="13" t="s">
        <v>85</v>
      </c>
    </row>
  </sheetData>
  <autoFilter xmlns:etc="http://www.wps.cn/officeDocument/2017/etCustomData" ref="A1:O79" etc:filterBottomFollowUsedRange="0">
    <extLst/>
  </autoFilter>
  <conditionalFormatting sqref="K2:K79">
    <cfRule type="cellIs" dxfId="1" priority="4" operator="equal">
      <formula>"Must"</formula>
    </cfRule>
    <cfRule type="cellIs" dxfId="4" priority="5" operator="equal">
      <formula>"Should"</formula>
    </cfRule>
    <cfRule type="cellIs" dxfId="3" priority="6" operator="equal">
      <formula>"Could"</formula>
    </cfRule>
  </conditionalFormatting>
  <conditionalFormatting sqref="N2:N79">
    <cfRule type="cellIs" dxfId="1" priority="1" operator="equal">
      <formula>"Done"</formula>
    </cfRule>
    <cfRule type="cellIs" dxfId="2" priority="2" operator="equal">
      <formula>"Processing"</formula>
    </cfRule>
    <cfRule type="cellIs" dxfId="3" priority="3" operator="equal">
      <formula>"Not Start"</formula>
    </cfRule>
  </conditionalFormatting>
  <dataValidations count="3">
    <dataValidation type="list" allowBlank="1" sqref="L2:L79">
      <formula1>"1,2,3"</formula1>
    </dataValidation>
    <dataValidation type="list" allowBlank="1" sqref="N2:N79">
      <formula1>"Done,Processing,Not Start"</formula1>
    </dataValidation>
    <dataValidation type="list" allowBlank="1" sqref="O2:O79">
      <formula1>'Delivery Plan'!$A$13:$A$17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cols>
    <col min="1" max="1" width="14" customWidth="1"/>
    <col min="2" max="2" width="26" customWidth="1"/>
    <col min="3" max="3" width="70" customWidth="1"/>
    <col min="4" max="4" width="46" customWidth="1"/>
  </cols>
  <sheetData>
    <row r="1" spans="1:4">
      <c r="A1" s="1" t="s">
        <v>596</v>
      </c>
      <c r="B1" s="1" t="s">
        <v>597</v>
      </c>
      <c r="C1" s="1" t="s">
        <v>98</v>
      </c>
      <c r="D1" s="1" t="s">
        <v>598</v>
      </c>
    </row>
    <row r="2" ht="26.4" spans="1:4">
      <c r="A2" s="8" t="s">
        <v>109</v>
      </c>
      <c r="B2" s="3" t="s">
        <v>599</v>
      </c>
      <c r="C2" s="3" t="s">
        <v>600</v>
      </c>
      <c r="D2" s="3" t="s">
        <v>601</v>
      </c>
    </row>
    <row r="3" ht="26.4" spans="1:4">
      <c r="A3" s="8" t="s">
        <v>44</v>
      </c>
      <c r="B3" s="3" t="s">
        <v>602</v>
      </c>
      <c r="C3" s="3" t="s">
        <v>603</v>
      </c>
      <c r="D3" s="3" t="s">
        <v>604</v>
      </c>
    </row>
    <row r="4" ht="39.6" spans="1:4">
      <c r="A4" s="8" t="s">
        <v>605</v>
      </c>
      <c r="B4" s="3" t="s">
        <v>602</v>
      </c>
      <c r="C4" s="3" t="s">
        <v>606</v>
      </c>
      <c r="D4" s="3" t="s">
        <v>607</v>
      </c>
    </row>
    <row r="5" ht="26.4" spans="1:4">
      <c r="A5" s="8" t="s">
        <v>58</v>
      </c>
      <c r="B5" s="3" t="s">
        <v>602</v>
      </c>
      <c r="C5" s="3" t="s">
        <v>608</v>
      </c>
      <c r="D5" s="3" t="s">
        <v>609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4"/>
  <cols>
    <col min="1" max="1" width="56" customWidth="1"/>
    <col min="2" max="3" width="14" customWidth="1"/>
    <col min="4" max="5" width="16" customWidth="1"/>
  </cols>
  <sheetData>
    <row r="1" spans="1:5">
      <c r="A1" s="1" t="s">
        <v>610</v>
      </c>
      <c r="B1" s="1" t="s">
        <v>109</v>
      </c>
      <c r="C1" s="1" t="s">
        <v>44</v>
      </c>
      <c r="D1" s="1" t="s">
        <v>605</v>
      </c>
      <c r="E1" s="1" t="s">
        <v>58</v>
      </c>
    </row>
    <row r="2" spans="1:5">
      <c r="A2" s="3" t="s">
        <v>611</v>
      </c>
      <c r="B2" s="4" t="s">
        <v>612</v>
      </c>
      <c r="C2" s="4" t="s">
        <v>612</v>
      </c>
      <c r="D2" s="4" t="s">
        <v>612</v>
      </c>
      <c r="E2" s="4" t="s">
        <v>612</v>
      </c>
    </row>
    <row r="3" spans="1:5">
      <c r="A3" s="3" t="s">
        <v>613</v>
      </c>
      <c r="B3" s="5" t="s">
        <v>614</v>
      </c>
      <c r="C3" s="4" t="s">
        <v>612</v>
      </c>
      <c r="D3" s="4" t="s">
        <v>612</v>
      </c>
      <c r="E3" s="4" t="s">
        <v>612</v>
      </c>
    </row>
    <row r="4" spans="1:5">
      <c r="A4" s="3" t="s">
        <v>615</v>
      </c>
      <c r="B4" s="5" t="s">
        <v>614</v>
      </c>
      <c r="C4" s="4" t="s">
        <v>612</v>
      </c>
      <c r="D4" s="6" t="s">
        <v>616</v>
      </c>
      <c r="E4" s="6" t="s">
        <v>616</v>
      </c>
    </row>
    <row r="5" spans="1:5">
      <c r="A5" s="3" t="s">
        <v>617</v>
      </c>
      <c r="B5" s="5" t="s">
        <v>614</v>
      </c>
      <c r="C5" s="4" t="s">
        <v>612</v>
      </c>
      <c r="D5" s="5" t="s">
        <v>614</v>
      </c>
      <c r="E5" s="5" t="s">
        <v>614</v>
      </c>
    </row>
    <row r="6" spans="1:5">
      <c r="A6" s="3" t="s">
        <v>618</v>
      </c>
      <c r="B6" s="5" t="s">
        <v>614</v>
      </c>
      <c r="C6" s="5" t="s">
        <v>614</v>
      </c>
      <c r="D6" s="4" t="s">
        <v>612</v>
      </c>
      <c r="E6" s="4" t="s">
        <v>612</v>
      </c>
    </row>
    <row r="7" spans="1:5">
      <c r="A7" s="3" t="s">
        <v>619</v>
      </c>
      <c r="B7" s="5" t="s">
        <v>614</v>
      </c>
      <c r="C7" s="5" t="s">
        <v>614</v>
      </c>
      <c r="D7" s="4" t="s">
        <v>612</v>
      </c>
      <c r="E7" s="4" t="s">
        <v>612</v>
      </c>
    </row>
    <row r="8" spans="1:5">
      <c r="A8" s="3" t="s">
        <v>620</v>
      </c>
      <c r="B8" s="5" t="s">
        <v>614</v>
      </c>
      <c r="C8" s="5" t="s">
        <v>614</v>
      </c>
      <c r="D8" s="4" t="s">
        <v>612</v>
      </c>
      <c r="E8" s="4" t="s">
        <v>612</v>
      </c>
    </row>
    <row r="9" spans="1:5">
      <c r="A9" s="3" t="s">
        <v>479</v>
      </c>
      <c r="B9" s="5" t="s">
        <v>614</v>
      </c>
      <c r="C9" s="5" t="s">
        <v>614</v>
      </c>
      <c r="D9" s="4" t="s">
        <v>612</v>
      </c>
      <c r="E9" s="4" t="s">
        <v>612</v>
      </c>
    </row>
    <row r="10" spans="1:5">
      <c r="A10" s="3" t="s">
        <v>621</v>
      </c>
      <c r="B10" s="5" t="s">
        <v>614</v>
      </c>
      <c r="C10" s="5" t="s">
        <v>614</v>
      </c>
      <c r="D10" s="4" t="s">
        <v>612</v>
      </c>
      <c r="E10" s="4" t="s">
        <v>612</v>
      </c>
    </row>
    <row r="11" spans="1:5">
      <c r="A11" s="3" t="s">
        <v>622</v>
      </c>
      <c r="B11" s="5" t="s">
        <v>614</v>
      </c>
      <c r="C11" s="5" t="s">
        <v>614</v>
      </c>
      <c r="D11" s="5" t="s">
        <v>614</v>
      </c>
      <c r="E11" s="4" t="s">
        <v>612</v>
      </c>
    </row>
    <row r="12" spans="1:5">
      <c r="A12" s="3" t="s">
        <v>623</v>
      </c>
      <c r="B12" s="5" t="s">
        <v>614</v>
      </c>
      <c r="C12" s="5" t="s">
        <v>614</v>
      </c>
      <c r="D12" s="5" t="s">
        <v>614</v>
      </c>
      <c r="E12" s="4" t="s">
        <v>612</v>
      </c>
    </row>
    <row r="13" spans="1:5">
      <c r="A13" s="3" t="s">
        <v>624</v>
      </c>
      <c r="B13" s="5" t="s">
        <v>614</v>
      </c>
      <c r="C13" s="5" t="s">
        <v>614</v>
      </c>
      <c r="D13" s="5" t="s">
        <v>614</v>
      </c>
      <c r="E13" s="4" t="s">
        <v>612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5"/>
  <cols>
    <col min="1" max="1" width="52" customWidth="1"/>
    <col min="2" max="2" width="26" customWidth="1"/>
    <col min="3" max="6" width="12" customWidth="1"/>
  </cols>
  <sheetData>
    <row r="1" spans="1:6">
      <c r="A1" s="1" t="s">
        <v>625</v>
      </c>
      <c r="B1" s="1" t="s">
        <v>27</v>
      </c>
      <c r="C1" s="1" t="s">
        <v>109</v>
      </c>
      <c r="D1" s="1" t="s">
        <v>44</v>
      </c>
      <c r="E1" s="1" t="s">
        <v>605</v>
      </c>
      <c r="F1" s="1" t="s">
        <v>58</v>
      </c>
    </row>
    <row r="2" spans="1:6">
      <c r="A2" s="3" t="s">
        <v>626</v>
      </c>
      <c r="B2" s="3" t="s">
        <v>627</v>
      </c>
      <c r="C2" s="4" t="s">
        <v>628</v>
      </c>
      <c r="D2" s="5" t="s">
        <v>629</v>
      </c>
      <c r="E2" s="5" t="s">
        <v>629</v>
      </c>
      <c r="F2" s="5" t="s">
        <v>629</v>
      </c>
    </row>
    <row r="3" spans="1:6">
      <c r="A3" s="3" t="s">
        <v>630</v>
      </c>
      <c r="B3" s="3" t="s">
        <v>631</v>
      </c>
      <c r="C3" s="4" t="s">
        <v>628</v>
      </c>
      <c r="D3" s="4" t="s">
        <v>628</v>
      </c>
      <c r="E3" s="4" t="s">
        <v>628</v>
      </c>
      <c r="F3" s="4" t="s">
        <v>628</v>
      </c>
    </row>
    <row r="4" spans="1:6">
      <c r="A4" s="3" t="s">
        <v>346</v>
      </c>
      <c r="B4" s="3" t="s">
        <v>632</v>
      </c>
      <c r="C4" s="4" t="s">
        <v>628</v>
      </c>
      <c r="D4" s="4" t="s">
        <v>628</v>
      </c>
      <c r="E4" s="4" t="s">
        <v>628</v>
      </c>
      <c r="F4" s="4" t="s">
        <v>628</v>
      </c>
    </row>
    <row r="5" spans="1:6">
      <c r="A5" s="3" t="s">
        <v>633</v>
      </c>
      <c r="B5" s="3" t="s">
        <v>634</v>
      </c>
      <c r="C5" s="6" t="s">
        <v>635</v>
      </c>
      <c r="D5" s="4" t="s">
        <v>628</v>
      </c>
      <c r="E5" s="5" t="s">
        <v>629</v>
      </c>
      <c r="F5" s="5" t="s">
        <v>629</v>
      </c>
    </row>
    <row r="6" spans="1:6">
      <c r="A6" s="3" t="s">
        <v>636</v>
      </c>
      <c r="B6" s="3" t="s">
        <v>637</v>
      </c>
      <c r="C6" s="6" t="s">
        <v>635</v>
      </c>
      <c r="D6" s="4" t="s">
        <v>628</v>
      </c>
      <c r="E6" s="5" t="s">
        <v>629</v>
      </c>
      <c r="F6" s="5" t="s">
        <v>629</v>
      </c>
    </row>
    <row r="7" spans="1:6">
      <c r="A7" s="3" t="s">
        <v>392</v>
      </c>
      <c r="B7" s="3" t="s">
        <v>638</v>
      </c>
      <c r="C7" s="5" t="s">
        <v>629</v>
      </c>
      <c r="D7" s="4" t="s">
        <v>628</v>
      </c>
      <c r="E7" s="5" t="s">
        <v>629</v>
      </c>
      <c r="F7" s="5" t="s">
        <v>629</v>
      </c>
    </row>
    <row r="8" spans="1:6">
      <c r="A8" s="3" t="s">
        <v>639</v>
      </c>
      <c r="B8" s="3" t="s">
        <v>640</v>
      </c>
      <c r="C8" s="5" t="s">
        <v>629</v>
      </c>
      <c r="D8" s="4" t="s">
        <v>628</v>
      </c>
      <c r="E8" s="5" t="s">
        <v>629</v>
      </c>
      <c r="F8" s="5" t="s">
        <v>629</v>
      </c>
    </row>
    <row r="9" spans="1:6">
      <c r="A9" s="3" t="s">
        <v>641</v>
      </c>
      <c r="B9" s="3" t="s">
        <v>642</v>
      </c>
      <c r="C9" s="5" t="s">
        <v>629</v>
      </c>
      <c r="D9" s="4" t="s">
        <v>628</v>
      </c>
      <c r="E9" s="5" t="s">
        <v>629</v>
      </c>
      <c r="F9" s="5" t="s">
        <v>629</v>
      </c>
    </row>
    <row r="10" spans="1:6">
      <c r="A10" s="3" t="s">
        <v>54</v>
      </c>
      <c r="B10" s="3" t="s">
        <v>55</v>
      </c>
      <c r="C10" s="5" t="s">
        <v>629</v>
      </c>
      <c r="D10" s="4" t="s">
        <v>628</v>
      </c>
      <c r="E10" s="5" t="s">
        <v>629</v>
      </c>
      <c r="F10" s="5" t="s">
        <v>629</v>
      </c>
    </row>
    <row r="11" spans="1:6">
      <c r="A11" s="3" t="s">
        <v>643</v>
      </c>
      <c r="B11" s="3" t="s">
        <v>644</v>
      </c>
      <c r="C11" s="5" t="s">
        <v>629</v>
      </c>
      <c r="D11" s="4" t="s">
        <v>628</v>
      </c>
      <c r="E11" s="4" t="s">
        <v>628</v>
      </c>
      <c r="F11" s="4" t="s">
        <v>628</v>
      </c>
    </row>
    <row r="12" spans="1:6">
      <c r="A12" s="3" t="s">
        <v>168</v>
      </c>
      <c r="B12" s="3" t="s">
        <v>645</v>
      </c>
      <c r="C12" s="5" t="s">
        <v>629</v>
      </c>
      <c r="D12" s="4" t="s">
        <v>628</v>
      </c>
      <c r="E12" s="5" t="s">
        <v>629</v>
      </c>
      <c r="F12" s="5" t="s">
        <v>629</v>
      </c>
    </row>
    <row r="13" spans="1:6">
      <c r="A13" s="3" t="s">
        <v>223</v>
      </c>
      <c r="B13" s="3" t="s">
        <v>646</v>
      </c>
      <c r="C13" s="5" t="s">
        <v>629</v>
      </c>
      <c r="D13" s="5" t="s">
        <v>629</v>
      </c>
      <c r="E13" s="4" t="s">
        <v>628</v>
      </c>
      <c r="F13" s="4" t="s">
        <v>628</v>
      </c>
    </row>
    <row r="14" spans="1:6">
      <c r="A14" s="3" t="s">
        <v>373</v>
      </c>
      <c r="B14" s="3" t="s">
        <v>40</v>
      </c>
      <c r="C14" s="5" t="s">
        <v>629</v>
      </c>
      <c r="D14" s="5" t="s">
        <v>629</v>
      </c>
      <c r="E14" s="4" t="s">
        <v>628</v>
      </c>
      <c r="F14" s="4" t="s">
        <v>628</v>
      </c>
    </row>
    <row r="15" spans="1:6">
      <c r="A15" s="3" t="s">
        <v>647</v>
      </c>
      <c r="B15" s="3" t="s">
        <v>648</v>
      </c>
      <c r="C15" s="5" t="s">
        <v>629</v>
      </c>
      <c r="D15" s="5" t="s">
        <v>629</v>
      </c>
      <c r="E15" s="4" t="s">
        <v>628</v>
      </c>
      <c r="F15" s="4" t="s">
        <v>628</v>
      </c>
    </row>
    <row r="16" spans="1:6">
      <c r="A16" s="3" t="s">
        <v>557</v>
      </c>
      <c r="B16" s="3" t="s">
        <v>649</v>
      </c>
      <c r="C16" s="5" t="s">
        <v>629</v>
      </c>
      <c r="D16" s="5" t="s">
        <v>629</v>
      </c>
      <c r="E16" s="4" t="s">
        <v>628</v>
      </c>
      <c r="F16" s="4" t="s">
        <v>628</v>
      </c>
    </row>
    <row r="17" spans="1:6">
      <c r="A17" s="3" t="s">
        <v>488</v>
      </c>
      <c r="B17" s="3" t="s">
        <v>650</v>
      </c>
      <c r="C17" s="5" t="s">
        <v>629</v>
      </c>
      <c r="D17" s="5" t="s">
        <v>629</v>
      </c>
      <c r="E17" s="5" t="s">
        <v>629</v>
      </c>
      <c r="F17" s="4" t="s">
        <v>628</v>
      </c>
    </row>
    <row r="18" spans="1:6">
      <c r="A18" s="3" t="s">
        <v>192</v>
      </c>
      <c r="B18" s="3" t="s">
        <v>651</v>
      </c>
      <c r="C18" s="5" t="s">
        <v>629</v>
      </c>
      <c r="D18" s="5" t="s">
        <v>629</v>
      </c>
      <c r="E18" s="5" t="s">
        <v>629</v>
      </c>
      <c r="F18" s="4" t="s">
        <v>628</v>
      </c>
    </row>
    <row r="19" spans="1:6">
      <c r="A19" s="3" t="s">
        <v>652</v>
      </c>
      <c r="B19" s="3" t="s">
        <v>57</v>
      </c>
      <c r="C19" s="5" t="s">
        <v>629</v>
      </c>
      <c r="D19" s="5" t="s">
        <v>629</v>
      </c>
      <c r="E19" s="5" t="s">
        <v>629</v>
      </c>
      <c r="F19" s="4" t="s">
        <v>628</v>
      </c>
    </row>
    <row r="21" spans="1:6">
      <c r="A21" s="7" t="s">
        <v>653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0" customWidth="1"/>
    <col min="2" max="2" width="42" customWidth="1"/>
    <col min="3" max="3" width="30" customWidth="1"/>
  </cols>
  <sheetData>
    <row r="1" spans="1:3">
      <c r="A1" s="1" t="s">
        <v>654</v>
      </c>
      <c r="B1" s="1" t="s">
        <v>655</v>
      </c>
      <c r="C1" s="1" t="s">
        <v>656</v>
      </c>
    </row>
    <row r="2" spans="1:3">
      <c r="A2" s="2" t="s">
        <v>657</v>
      </c>
      <c r="B2" s="3" t="s">
        <v>658</v>
      </c>
      <c r="C2" s="3" t="s">
        <v>659</v>
      </c>
    </row>
    <row r="3" spans="1:3">
      <c r="A3" s="2" t="s">
        <v>660</v>
      </c>
      <c r="B3" s="3" t="s">
        <v>661</v>
      </c>
      <c r="C3" s="3" t="s">
        <v>659</v>
      </c>
    </row>
    <row r="4" spans="1:3">
      <c r="A4" s="2" t="s">
        <v>662</v>
      </c>
      <c r="B4" s="3" t="s">
        <v>663</v>
      </c>
      <c r="C4" s="3" t="s">
        <v>659</v>
      </c>
    </row>
    <row r="5" spans="1:3">
      <c r="A5" s="2" t="s">
        <v>664</v>
      </c>
      <c r="B5" s="3" t="s">
        <v>665</v>
      </c>
      <c r="C5" s="3" t="s">
        <v>659</v>
      </c>
    </row>
    <row r="6" spans="1:3">
      <c r="A6" s="2" t="s">
        <v>666</v>
      </c>
      <c r="B6" s="3" t="s">
        <v>667</v>
      </c>
      <c r="C6" s="3" t="s">
        <v>659</v>
      </c>
    </row>
    <row r="7" spans="1:3">
      <c r="A7" s="2" t="s">
        <v>668</v>
      </c>
      <c r="B7" s="3" t="s">
        <v>669</v>
      </c>
      <c r="C7" s="3" t="s">
        <v>659</v>
      </c>
    </row>
    <row r="8" spans="1:3">
      <c r="A8" s="2" t="s">
        <v>670</v>
      </c>
      <c r="B8" s="3" t="s">
        <v>671</v>
      </c>
      <c r="C8" s="3" t="s">
        <v>659</v>
      </c>
    </row>
    <row r="9" spans="1:3">
      <c r="A9" s="2" t="s">
        <v>672</v>
      </c>
      <c r="B9" s="3" t="s">
        <v>673</v>
      </c>
      <c r="C9" s="3" t="s">
        <v>674</v>
      </c>
    </row>
    <row r="10" spans="1:3">
      <c r="A10" s="2" t="s">
        <v>675</v>
      </c>
      <c r="B10" s="3" t="s">
        <v>676</v>
      </c>
      <c r="C10" s="3" t="s">
        <v>674</v>
      </c>
    </row>
    <row r="11" spans="1:3">
      <c r="A11" s="2" t="s">
        <v>677</v>
      </c>
      <c r="B11" s="3" t="s">
        <v>678</v>
      </c>
      <c r="C11" s="3" t="s">
        <v>674</v>
      </c>
    </row>
    <row r="12" spans="1:3">
      <c r="A12" s="2" t="s">
        <v>679</v>
      </c>
      <c r="B12" s="3" t="s">
        <v>680</v>
      </c>
      <c r="C12" s="3" t="s">
        <v>674</v>
      </c>
    </row>
    <row r="13" spans="1:3">
      <c r="A13" s="2" t="s">
        <v>681</v>
      </c>
      <c r="B13" s="3" t="s">
        <v>682</v>
      </c>
      <c r="C13" s="3" t="s">
        <v>674</v>
      </c>
    </row>
    <row r="14" spans="1:3">
      <c r="A14" s="2" t="s">
        <v>683</v>
      </c>
      <c r="B14" s="3" t="s">
        <v>684</v>
      </c>
      <c r="C14" s="3" t="s">
        <v>674</v>
      </c>
    </row>
    <row r="15" spans="1:3">
      <c r="A15" s="2" t="s">
        <v>685</v>
      </c>
      <c r="B15" s="3" t="s">
        <v>686</v>
      </c>
      <c r="C15" s="3" t="s">
        <v>687</v>
      </c>
    </row>
    <row r="16" spans="1:3">
      <c r="A16" s="2" t="s">
        <v>253</v>
      </c>
      <c r="B16" s="3" t="s">
        <v>688</v>
      </c>
      <c r="C16" s="3" t="s">
        <v>687</v>
      </c>
    </row>
    <row r="17" spans="1:3">
      <c r="A17" s="2" t="s">
        <v>689</v>
      </c>
      <c r="B17" s="3" t="s">
        <v>690</v>
      </c>
      <c r="C17" s="3" t="s">
        <v>687</v>
      </c>
    </row>
    <row r="18" spans="1:3">
      <c r="A18" s="2" t="s">
        <v>691</v>
      </c>
      <c r="B18" s="3" t="s">
        <v>692</v>
      </c>
      <c r="C18" s="3" t="s">
        <v>687</v>
      </c>
    </row>
    <row r="19" spans="1:3">
      <c r="A19" s="2" t="s">
        <v>693</v>
      </c>
      <c r="B19" s="3" t="s">
        <v>694</v>
      </c>
      <c r="C19" s="3" t="s">
        <v>687</v>
      </c>
    </row>
    <row r="20" spans="1:3">
      <c r="A20" s="2" t="s">
        <v>323</v>
      </c>
      <c r="B20" s="3" t="s">
        <v>695</v>
      </c>
      <c r="C20" s="3" t="s">
        <v>687</v>
      </c>
    </row>
    <row r="21" spans="1:3">
      <c r="A21" s="2" t="s">
        <v>696</v>
      </c>
      <c r="B21" s="3" t="s">
        <v>697</v>
      </c>
      <c r="C21" s="3" t="s">
        <v>687</v>
      </c>
    </row>
    <row r="22" spans="1:3">
      <c r="A22" s="2" t="s">
        <v>367</v>
      </c>
      <c r="B22" s="3" t="s">
        <v>698</v>
      </c>
      <c r="C22" s="3" t="s">
        <v>687</v>
      </c>
    </row>
    <row r="23" spans="1:3">
      <c r="A23" s="2" t="s">
        <v>699</v>
      </c>
      <c r="B23" s="3" t="s">
        <v>700</v>
      </c>
      <c r="C23" s="3" t="s">
        <v>39</v>
      </c>
    </row>
    <row r="24" spans="1:3">
      <c r="A24" s="2" t="s">
        <v>701</v>
      </c>
      <c r="B24" s="3" t="s">
        <v>702</v>
      </c>
      <c r="C24" s="3" t="s">
        <v>39</v>
      </c>
    </row>
    <row r="25" spans="1:3">
      <c r="A25" s="2" t="s">
        <v>703</v>
      </c>
      <c r="B25" s="3" t="s">
        <v>704</v>
      </c>
      <c r="C25" s="3" t="s">
        <v>39</v>
      </c>
    </row>
    <row r="26" spans="1:3">
      <c r="A26" s="2" t="s">
        <v>705</v>
      </c>
      <c r="B26" s="3" t="s">
        <v>706</v>
      </c>
      <c r="C26" s="3" t="s">
        <v>39</v>
      </c>
    </row>
    <row r="27" spans="1:3">
      <c r="A27" s="2" t="s">
        <v>707</v>
      </c>
      <c r="B27" s="3" t="s">
        <v>708</v>
      </c>
      <c r="C27" s="3" t="s">
        <v>39</v>
      </c>
    </row>
    <row r="28" spans="1:3">
      <c r="A28" s="2" t="s">
        <v>709</v>
      </c>
      <c r="B28" s="3" t="s">
        <v>710</v>
      </c>
      <c r="C28" s="3" t="s">
        <v>39</v>
      </c>
    </row>
    <row r="29" spans="1:3">
      <c r="A29" s="2" t="s">
        <v>711</v>
      </c>
      <c r="B29" s="3" t="s">
        <v>712</v>
      </c>
      <c r="C29" s="3" t="s">
        <v>39</v>
      </c>
    </row>
    <row r="30" spans="1:3">
      <c r="A30" s="2" t="s">
        <v>411</v>
      </c>
      <c r="B30" s="3" t="s">
        <v>713</v>
      </c>
      <c r="C30" s="3" t="s">
        <v>714</v>
      </c>
    </row>
    <row r="31" spans="1:3">
      <c r="A31" s="2" t="s">
        <v>715</v>
      </c>
      <c r="B31" s="3" t="s">
        <v>716</v>
      </c>
      <c r="C31" s="3" t="s">
        <v>714</v>
      </c>
    </row>
    <row r="32" spans="1:3">
      <c r="A32" s="2" t="s">
        <v>717</v>
      </c>
      <c r="B32" s="3" t="s">
        <v>718</v>
      </c>
      <c r="C32" s="3" t="s">
        <v>714</v>
      </c>
    </row>
    <row r="33" spans="1:3">
      <c r="A33" s="2" t="s">
        <v>719</v>
      </c>
      <c r="B33" s="3" t="s">
        <v>720</v>
      </c>
      <c r="C33" s="3" t="s">
        <v>714</v>
      </c>
    </row>
    <row r="34" spans="1:3">
      <c r="A34" s="2" t="s">
        <v>721</v>
      </c>
      <c r="B34" s="3" t="s">
        <v>722</v>
      </c>
      <c r="C34" s="3" t="s">
        <v>714</v>
      </c>
    </row>
    <row r="35" spans="1:3">
      <c r="A35" s="2" t="s">
        <v>723</v>
      </c>
      <c r="B35" s="3" t="s">
        <v>724</v>
      </c>
      <c r="C35" s="3" t="s">
        <v>714</v>
      </c>
    </row>
    <row r="36" spans="1:3">
      <c r="A36" s="2" t="s">
        <v>725</v>
      </c>
      <c r="B36" s="3" t="s">
        <v>726</v>
      </c>
      <c r="C36" s="3" t="s">
        <v>714</v>
      </c>
    </row>
    <row r="37" spans="1:3">
      <c r="A37" s="2" t="s">
        <v>727</v>
      </c>
      <c r="B37" s="3" t="s">
        <v>728</v>
      </c>
      <c r="C37" s="3" t="s">
        <v>714</v>
      </c>
    </row>
    <row r="38" spans="1:3">
      <c r="A38" s="2" t="s">
        <v>729</v>
      </c>
      <c r="B38" s="3" t="s">
        <v>730</v>
      </c>
      <c r="C38" s="3" t="s">
        <v>714</v>
      </c>
    </row>
    <row r="39" spans="1:3">
      <c r="A39" s="2" t="s">
        <v>731</v>
      </c>
      <c r="B39" s="3" t="s">
        <v>732</v>
      </c>
      <c r="C39" s="3" t="s">
        <v>733</v>
      </c>
    </row>
    <row r="40" spans="1:3">
      <c r="A40" s="2" t="s">
        <v>734</v>
      </c>
      <c r="B40" s="3" t="s">
        <v>735</v>
      </c>
      <c r="C40" s="3" t="s">
        <v>733</v>
      </c>
    </row>
    <row r="41" spans="1:3">
      <c r="A41" s="2" t="s">
        <v>736</v>
      </c>
      <c r="B41" s="3" t="s">
        <v>737</v>
      </c>
      <c r="C41" s="3" t="s">
        <v>733</v>
      </c>
    </row>
    <row r="42" spans="1:3">
      <c r="A42" s="2" t="s">
        <v>738</v>
      </c>
      <c r="B42" s="3" t="s">
        <v>739</v>
      </c>
      <c r="C42" s="3" t="s">
        <v>733</v>
      </c>
    </row>
    <row r="43" spans="1:3">
      <c r="A43" s="2" t="s">
        <v>740</v>
      </c>
      <c r="B43" s="3" t="s">
        <v>741</v>
      </c>
      <c r="C43" s="3" t="s">
        <v>733</v>
      </c>
    </row>
    <row r="44" spans="1:3">
      <c r="A44" s="2" t="s">
        <v>742</v>
      </c>
      <c r="B44" s="3" t="s">
        <v>743</v>
      </c>
      <c r="C44" s="3" t="s">
        <v>733</v>
      </c>
    </row>
    <row r="45" spans="1:3">
      <c r="A45" s="2" t="s">
        <v>744</v>
      </c>
      <c r="B45" s="3" t="s">
        <v>745</v>
      </c>
      <c r="C45" s="3" t="s">
        <v>733</v>
      </c>
    </row>
    <row r="46" spans="1:3">
      <c r="A46" s="2" t="s">
        <v>746</v>
      </c>
      <c r="B46" s="3" t="s">
        <v>747</v>
      </c>
      <c r="C46" s="3" t="s">
        <v>733</v>
      </c>
    </row>
    <row r="47" spans="1:3">
      <c r="A47" s="2" t="s">
        <v>748</v>
      </c>
      <c r="B47" s="3" t="s">
        <v>749</v>
      </c>
      <c r="C47" s="3" t="s">
        <v>750</v>
      </c>
    </row>
    <row r="48" spans="1:3">
      <c r="A48" s="2" t="s">
        <v>751</v>
      </c>
      <c r="B48" s="3" t="s">
        <v>752</v>
      </c>
      <c r="C48" s="3" t="s">
        <v>750</v>
      </c>
    </row>
    <row r="49" spans="1:3">
      <c r="A49" s="2" t="s">
        <v>753</v>
      </c>
      <c r="B49" s="3" t="s">
        <v>754</v>
      </c>
      <c r="C49" s="3" t="s">
        <v>750</v>
      </c>
    </row>
    <row r="50" spans="1:3">
      <c r="A50" s="2" t="s">
        <v>755</v>
      </c>
      <c r="B50" s="3" t="s">
        <v>756</v>
      </c>
      <c r="C50" s="3" t="s">
        <v>750</v>
      </c>
    </row>
    <row r="51" spans="1:3">
      <c r="A51" s="2" t="s">
        <v>757</v>
      </c>
      <c r="B51" s="3" t="s">
        <v>758</v>
      </c>
      <c r="C51" s="3" t="s">
        <v>750</v>
      </c>
    </row>
    <row r="52" spans="1:3">
      <c r="A52" s="2" t="s">
        <v>759</v>
      </c>
      <c r="B52" s="3" t="s">
        <v>760</v>
      </c>
      <c r="C52" s="3" t="s">
        <v>750</v>
      </c>
    </row>
    <row r="53" spans="1:3">
      <c r="A53" s="2" t="s">
        <v>761</v>
      </c>
      <c r="B53" s="3" t="s">
        <v>762</v>
      </c>
      <c r="C53" s="3" t="s">
        <v>750</v>
      </c>
    </row>
    <row r="54" spans="1:3">
      <c r="A54" s="2" t="s">
        <v>763</v>
      </c>
      <c r="B54" s="3" t="s">
        <v>764</v>
      </c>
      <c r="C54" s="3" t="s">
        <v>750</v>
      </c>
    </row>
    <row r="55" spans="1:3">
      <c r="A55" s="2" t="s">
        <v>765</v>
      </c>
      <c r="B55" s="3" t="s">
        <v>766</v>
      </c>
      <c r="C55" s="3" t="s">
        <v>767</v>
      </c>
    </row>
    <row r="56" spans="1:3">
      <c r="A56" s="2" t="s">
        <v>768</v>
      </c>
      <c r="B56" s="3" t="s">
        <v>769</v>
      </c>
      <c r="C56" s="3" t="s">
        <v>767</v>
      </c>
    </row>
    <row r="57" spans="1:3">
      <c r="A57" s="2" t="s">
        <v>770</v>
      </c>
      <c r="B57" s="3" t="s">
        <v>771</v>
      </c>
      <c r="C57" s="3" t="s">
        <v>767</v>
      </c>
    </row>
    <row r="58" spans="1:3">
      <c r="A58" s="2" t="s">
        <v>772</v>
      </c>
      <c r="B58" s="3" t="s">
        <v>773</v>
      </c>
      <c r="C58" s="3" t="s">
        <v>767</v>
      </c>
    </row>
    <row r="59" spans="1:3">
      <c r="A59" s="2" t="s">
        <v>774</v>
      </c>
      <c r="B59" s="3" t="s">
        <v>775</v>
      </c>
      <c r="C59" s="3" t="s">
        <v>767</v>
      </c>
    </row>
    <row r="60" spans="1:3">
      <c r="A60" s="2" t="s">
        <v>776</v>
      </c>
      <c r="B60" s="3" t="s">
        <v>777</v>
      </c>
      <c r="C60" s="3" t="s">
        <v>767</v>
      </c>
    </row>
    <row r="61" spans="1:3">
      <c r="A61" s="2" t="s">
        <v>778</v>
      </c>
      <c r="B61" s="3" t="s">
        <v>779</v>
      </c>
      <c r="C61" s="3" t="s">
        <v>767</v>
      </c>
    </row>
    <row r="62" spans="1:3">
      <c r="A62" s="2" t="s">
        <v>780</v>
      </c>
      <c r="B62" s="3" t="s">
        <v>781</v>
      </c>
      <c r="C62" s="3" t="s">
        <v>782</v>
      </c>
    </row>
    <row r="63" spans="1:3">
      <c r="A63" s="2" t="s">
        <v>783</v>
      </c>
      <c r="B63" s="3" t="s">
        <v>784</v>
      </c>
      <c r="C63" s="3" t="s">
        <v>782</v>
      </c>
    </row>
    <row r="64" spans="1:3">
      <c r="A64" s="2" t="s">
        <v>785</v>
      </c>
      <c r="B64" s="3" t="s">
        <v>786</v>
      </c>
      <c r="C64" s="3" t="s">
        <v>782</v>
      </c>
    </row>
    <row r="65" spans="1:3">
      <c r="A65" s="2" t="s">
        <v>787</v>
      </c>
      <c r="B65" s="3" t="s">
        <v>788</v>
      </c>
      <c r="C65" s="3" t="s">
        <v>782</v>
      </c>
    </row>
    <row r="66" spans="1:3">
      <c r="A66" s="2" t="s">
        <v>789</v>
      </c>
      <c r="B66" s="3" t="s">
        <v>790</v>
      </c>
      <c r="C66" s="3" t="s">
        <v>782</v>
      </c>
    </row>
    <row r="67" spans="1:3">
      <c r="A67" s="2" t="s">
        <v>564</v>
      </c>
      <c r="B67" s="3" t="s">
        <v>791</v>
      </c>
      <c r="C67" s="3" t="s">
        <v>782</v>
      </c>
    </row>
    <row r="68" spans="1:3">
      <c r="A68" s="2" t="s">
        <v>792</v>
      </c>
      <c r="B68" s="3" t="s">
        <v>793</v>
      </c>
      <c r="C68" s="3" t="s">
        <v>794</v>
      </c>
    </row>
    <row r="69" spans="1:3">
      <c r="A69" s="2" t="s">
        <v>795</v>
      </c>
      <c r="B69" s="3" t="s">
        <v>796</v>
      </c>
      <c r="C69" s="3" t="s">
        <v>794</v>
      </c>
    </row>
    <row r="70" spans="1:3">
      <c r="A70" s="2" t="s">
        <v>797</v>
      </c>
      <c r="B70" s="3" t="s">
        <v>798</v>
      </c>
      <c r="C70" s="3" t="s">
        <v>794</v>
      </c>
    </row>
    <row r="71" spans="1:3">
      <c r="A71" s="2" t="s">
        <v>799</v>
      </c>
      <c r="B71" s="3" t="s">
        <v>800</v>
      </c>
      <c r="C71" s="3" t="s">
        <v>794</v>
      </c>
    </row>
    <row r="72" spans="1:3">
      <c r="A72" s="2" t="s">
        <v>801</v>
      </c>
      <c r="B72" s="3" t="s">
        <v>802</v>
      </c>
      <c r="C72" s="3" t="s">
        <v>803</v>
      </c>
    </row>
    <row r="73" spans="1:3">
      <c r="A73" s="2" t="s">
        <v>804</v>
      </c>
      <c r="B73" s="3" t="s">
        <v>805</v>
      </c>
      <c r="C73" s="3" t="s">
        <v>803</v>
      </c>
    </row>
    <row r="74" spans="1:3">
      <c r="A74" s="2" t="s">
        <v>806</v>
      </c>
      <c r="B74" s="3" t="s">
        <v>807</v>
      </c>
      <c r="C74" s="3" t="s">
        <v>803</v>
      </c>
    </row>
    <row r="75" spans="1:3">
      <c r="A75" s="2" t="s">
        <v>808</v>
      </c>
      <c r="B75" s="3" t="s">
        <v>809</v>
      </c>
      <c r="C75" s="3" t="s">
        <v>803</v>
      </c>
    </row>
    <row r="76" spans="1:3">
      <c r="A76" s="2" t="s">
        <v>810</v>
      </c>
      <c r="B76" s="3" t="s">
        <v>811</v>
      </c>
      <c r="C76" s="3" t="s">
        <v>803</v>
      </c>
    </row>
    <row r="77" spans="1:3">
      <c r="A77" s="2" t="s">
        <v>812</v>
      </c>
      <c r="B77" s="3" t="s">
        <v>813</v>
      </c>
      <c r="C77" s="3" t="s">
        <v>803</v>
      </c>
    </row>
    <row r="78" spans="1:3">
      <c r="A78" s="2" t="s">
        <v>814</v>
      </c>
      <c r="B78" s="3" t="s">
        <v>815</v>
      </c>
      <c r="C78" s="3" t="s">
        <v>803</v>
      </c>
    </row>
    <row r="79" spans="1:3">
      <c r="A79" s="2" t="s">
        <v>816</v>
      </c>
      <c r="B79" s="3" t="s">
        <v>817</v>
      </c>
      <c r="C79" s="3" t="s">
        <v>803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Delivery Plan</vt:lpstr>
      <vt:lpstr>Features</vt:lpstr>
      <vt:lpstr>Roles</vt:lpstr>
      <vt:lpstr>Authorization</vt:lpstr>
      <vt:lpstr>Screen Visibility</vt:lpstr>
      <vt:lpstr>Business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2026-10-13T21:10:00Z</dcterms:created>
  <dcterms:modified xsi:type="dcterms:W3CDTF">2026-10-13T21:10:24Z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5756A8DE5F944F25B41E79EA6DACD507_12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